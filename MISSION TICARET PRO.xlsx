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tables/table4.xml" ContentType="application/vnd.openxmlformats-officedocument.spreadsheetml.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32"/>
  <workbookPr defaultThemeVersion="166925"/>
  <mc:AlternateContent xmlns:mc="http://schemas.openxmlformats.org/markup-compatibility/2006">
    <mc:Choice Requires="x15">
      <x15ac:absPath xmlns:x15ac="http://schemas.microsoft.com/office/spreadsheetml/2010/11/ac" url="C:\Users\ADMIN\OneDrive\Desktop\Portfolio\"/>
    </mc:Choice>
  </mc:AlternateContent>
  <xr:revisionPtr revIDLastSave="0" documentId="8_{4F494835-7CD9-484E-BABA-7AAA45930EF1}" xr6:coauthVersionLast="47" xr6:coauthVersionMax="47" xr10:uidLastSave="{00000000-0000-0000-0000-000000000000}"/>
  <bookViews>
    <workbookView xWindow="-108" yWindow="-108" windowWidth="23256" windowHeight="12576" xr2:uid="{2401F5F8-ADA2-4122-999A-8C67DBA6BF41}"/>
  </bookViews>
  <sheets>
    <sheet name="Simulation de données" sheetId="1" r:id="rId1"/>
    <sheet name="Dashboard" sheetId="2" r:id="rId2"/>
    <sheet name="analyse de données" sheetId="3" r:id="rId3"/>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K2" i="1" l="1"/>
  <c r="K3" i="1"/>
  <c r="K4" i="1"/>
  <c r="K5" i="1"/>
  <c r="K6" i="1"/>
  <c r="K7" i="1"/>
  <c r="K8" i="1"/>
  <c r="K9" i="1"/>
  <c r="K10" i="1"/>
  <c r="K11" i="1"/>
  <c r="N11" i="1" s="1"/>
  <c r="I2" i="1"/>
  <c r="I3" i="1"/>
  <c r="I4" i="1"/>
  <c r="I5" i="1"/>
  <c r="I6" i="1"/>
  <c r="I7" i="1"/>
  <c r="I8" i="1"/>
  <c r="I9" i="1"/>
  <c r="I10" i="1"/>
  <c r="I11" i="1"/>
  <c r="M11" i="1" s="1"/>
  <c r="G2" i="1"/>
  <c r="G3" i="1"/>
  <c r="G4" i="1"/>
  <c r="G5" i="1"/>
  <c r="G6" i="1"/>
  <c r="G7" i="1"/>
  <c r="G8" i="1"/>
  <c r="G9" i="1"/>
  <c r="G10" i="1"/>
  <c r="G11" i="1"/>
  <c r="R11" i="1" s="1"/>
  <c r="AC2" i="1"/>
  <c r="AK2" i="1"/>
  <c r="AD2" i="1"/>
  <c r="W7" i="1" l="1"/>
  <c r="W5" i="1"/>
  <c r="U9" i="1"/>
  <c r="U3" i="1"/>
  <c r="S9" i="1"/>
  <c r="U10" i="1"/>
  <c r="U2" i="1"/>
  <c r="V8" i="1"/>
  <c r="U8" i="1"/>
  <c r="V6" i="1"/>
  <c r="W4" i="1"/>
  <c r="U7" i="1"/>
  <c r="V5" i="1"/>
  <c r="W3" i="1"/>
  <c r="U6" i="1"/>
  <c r="V4" i="1"/>
  <c r="W10" i="1"/>
  <c r="W2" i="1"/>
  <c r="U5" i="1"/>
  <c r="V3" i="1"/>
  <c r="W9" i="1"/>
  <c r="W11" i="1"/>
  <c r="V7" i="1"/>
  <c r="U4" i="1"/>
  <c r="V10" i="1"/>
  <c r="V2" i="1"/>
  <c r="W8" i="1"/>
  <c r="T6" i="1"/>
  <c r="W6" i="1"/>
  <c r="V11" i="1"/>
  <c r="V9" i="1"/>
  <c r="U11" i="1"/>
  <c r="R4" i="1"/>
  <c r="R3" i="1"/>
  <c r="R10" i="1"/>
  <c r="S7" i="1"/>
  <c r="T5" i="1"/>
  <c r="R8" i="1"/>
  <c r="S6" i="1"/>
  <c r="T4" i="1"/>
  <c r="Q8" i="1"/>
  <c r="R9" i="1"/>
  <c r="R7" i="1"/>
  <c r="S5" i="1"/>
  <c r="T3" i="1"/>
  <c r="R6" i="1"/>
  <c r="S4" i="1"/>
  <c r="T10" i="1"/>
  <c r="T2" i="1"/>
  <c r="R2" i="1"/>
  <c r="R5" i="1"/>
  <c r="Q3" i="1"/>
  <c r="T9" i="1"/>
  <c r="Q11" i="1"/>
  <c r="Q10" i="1"/>
  <c r="Q2" i="1"/>
  <c r="T8" i="1"/>
  <c r="T7" i="1"/>
  <c r="Q7" i="1"/>
  <c r="S3" i="1"/>
  <c r="Q6" i="1"/>
  <c r="S10" i="1"/>
  <c r="S2" i="1"/>
  <c r="Q5" i="1"/>
  <c r="Q4" i="1"/>
  <c r="S8" i="1"/>
  <c r="S11" i="1"/>
  <c r="T11" i="1"/>
  <c r="Q9" i="1"/>
  <c r="P11" i="1"/>
  <c r="P5" i="1"/>
  <c r="O8" i="1"/>
  <c r="P4" i="1"/>
  <c r="O7" i="1"/>
  <c r="M5" i="1"/>
  <c r="N3" i="1"/>
  <c r="M4" i="1"/>
  <c r="P10" i="1"/>
  <c r="M3" i="1"/>
  <c r="N9" i="1"/>
  <c r="O6" i="1"/>
  <c r="P2" i="1"/>
  <c r="O5" i="1"/>
  <c r="O4" i="1"/>
  <c r="M10" i="1"/>
  <c r="M2" i="1"/>
  <c r="N8" i="1"/>
  <c r="L3" i="1"/>
  <c r="M9" i="1"/>
  <c r="N7" i="1"/>
  <c r="L10" i="1"/>
  <c r="L2" i="1"/>
  <c r="M8" i="1"/>
  <c r="N6" i="1"/>
  <c r="O3" i="1"/>
  <c r="M6" i="1"/>
  <c r="N4" i="1"/>
  <c r="O10" i="1"/>
  <c r="O2" i="1"/>
  <c r="P8" i="1"/>
  <c r="N5" i="1"/>
  <c r="P9" i="1"/>
  <c r="L11" i="1"/>
  <c r="L7" i="1"/>
  <c r="L6" i="1"/>
  <c r="N10" i="1"/>
  <c r="N2" i="1"/>
  <c r="P6" i="1"/>
  <c r="O9" i="1"/>
  <c r="P7" i="1"/>
  <c r="L5" i="1"/>
  <c r="O11" i="1"/>
  <c r="L9" i="1"/>
  <c r="L8" i="1"/>
  <c r="L4" i="1"/>
  <c r="M7" i="1"/>
  <c r="P3" i="1"/>
  <c r="AJ2" i="1"/>
  <c r="AL2" i="1" s="1"/>
  <c r="D6" i="1" l="1"/>
  <c r="A6" i="1" s="1"/>
  <c r="D8" i="1"/>
  <c r="A8" i="1" s="1"/>
  <c r="D3" i="1"/>
  <c r="A3" i="1" s="1"/>
  <c r="D9" i="1"/>
  <c r="A9" i="1" s="1"/>
  <c r="D11" i="1"/>
  <c r="A11" i="1" s="1"/>
  <c r="D7" i="1"/>
  <c r="A7" i="1" s="1"/>
  <c r="D5" i="1"/>
  <c r="A5" i="1" s="1"/>
  <c r="D10" i="1"/>
  <c r="A10" i="1" s="1"/>
  <c r="D4" i="1"/>
  <c r="A4" i="1" s="1"/>
  <c r="D2" i="1"/>
  <c r="A2" i="1" s="1"/>
</calcChain>
</file>

<file path=xl/sharedStrings.xml><?xml version="1.0" encoding="utf-8"?>
<sst xmlns="http://schemas.openxmlformats.org/spreadsheetml/2006/main" count="43" uniqueCount="43">
  <si>
    <t>ESTIMATIONS</t>
  </si>
  <si>
    <t>OF</t>
  </si>
  <si>
    <t>Intitulé</t>
  </si>
  <si>
    <t>A</t>
  </si>
  <si>
    <t>B</t>
  </si>
  <si>
    <t>C</t>
  </si>
  <si>
    <t>Prix de référence</t>
  </si>
  <si>
    <t>Moy Concurrents</t>
  </si>
  <si>
    <t>Prix de réf Moy</t>
  </si>
  <si>
    <t>SOMME DES OFFRES</t>
  </si>
  <si>
    <t>NOMBRE DES OFFRES</t>
  </si>
  <si>
    <t xml:space="preserve">Prix du Marché </t>
  </si>
  <si>
    <t>Evolution Prix du concurrent 1</t>
  </si>
  <si>
    <t>Evolution Prix du concurrent 2</t>
  </si>
  <si>
    <t>Prix ECS</t>
  </si>
  <si>
    <t>Médiane Écart Prix Concurrent 1</t>
  </si>
  <si>
    <t>Evolution ecart Ecs</t>
  </si>
  <si>
    <t>Médiane Écart Prix Concurrent 2</t>
  </si>
  <si>
    <t>Médiane Écart Prix ECS</t>
  </si>
  <si>
    <t>Écart-type Écart Prix Concurrent 1</t>
  </si>
  <si>
    <t>Écart-type Écart Prix Concurrent 2</t>
  </si>
  <si>
    <t>Écart-type Écart Prix ECS</t>
  </si>
  <si>
    <t xml:space="preserve">Estimation </t>
  </si>
  <si>
    <t xml:space="preserve">Somme des offres </t>
  </si>
  <si>
    <t xml:space="preserve">Nombres des offres </t>
  </si>
  <si>
    <t>Evolution ecart Cocurrent 1</t>
  </si>
  <si>
    <t>Evolution ecart Cocurrent 2</t>
  </si>
  <si>
    <t>Colonne de calcul</t>
  </si>
  <si>
    <t xml:space="preserve">colonne </t>
  </si>
  <si>
    <t xml:space="preserve">Moyenne ecart concurrent </t>
  </si>
  <si>
    <t>Moyenne concurrent 2</t>
  </si>
  <si>
    <t>Quartille cocurrent 1</t>
  </si>
  <si>
    <t>Quartille concurrent 2</t>
  </si>
  <si>
    <t>Quartille ECS</t>
  </si>
  <si>
    <r>
      <rPr>
        <sz val="11"/>
        <color rgb="FF92D050"/>
        <rFont val="Calibri"/>
        <family val="2"/>
        <scheme val="minor"/>
      </rPr>
      <t xml:space="preserve">Analyse del'evolution de l'ecart des prix préstatire prix marché , et l'evolution ecart type prix marché prix prestatire </t>
    </r>
    <r>
      <rPr>
        <sz val="11"/>
        <color rgb="FFFFFF00"/>
        <rFont val="Calibri"/>
        <family val="2"/>
        <scheme val="minor"/>
      </rPr>
      <t>:</t>
    </r>
    <r>
      <rPr>
        <sz val="11"/>
        <color theme="1"/>
        <rFont val="Calibri"/>
        <family val="2"/>
        <scheme val="minor"/>
      </rPr>
      <t xml:space="preserve"> Les écarts entre ECS et les concurrents 1 et 2 montrent des variations significatives au fil du temps, indiquant des fluctuations dans la compétitivité des prix.
L'évolution de l'écart-type des écarts avec le marché montre la volatilité de ces différences. Un écart-type élevé suggère une variabilité importante dans les écarts de prix.
Si l'écart-type est élevé, cela peut indiquer une instabilité dans la compétitivité des prix, tandis qu'un écart-type plus bas peut suggérer une plus grande cohérence.
Une analyse plus approfondie pourrait inclure l'examen de la médiane, de la moyenne et des quartiles pour obtenir une image complète de la distribution des écarts de prix.</t>
    </r>
  </si>
  <si>
    <t>Moyenne ecart ECS</t>
  </si>
  <si>
    <r>
      <rPr>
        <sz val="11"/>
        <color theme="5"/>
        <rFont val="Calibri"/>
        <family val="2"/>
        <scheme val="minor"/>
      </rPr>
      <t>Dicision potetielle a partir de l'analyse de l'evolution de la moyenne de l'ecart des prix prestataire prix marché :</t>
    </r>
    <r>
      <rPr>
        <sz val="11"/>
        <color theme="1"/>
        <rFont val="Calibri"/>
        <family val="2"/>
        <scheme val="minor"/>
      </rPr>
      <t xml:space="preserve"> Décision Potentielle pour ECS:
Surveiller la Compétitivité : En raison des fluctuations dans l'écart moyen avec Concurrent 1, ECS devrait surveiller attentivement sa compétitivité à différentes périodes pour maintenir ou améliorer sa position sur le marché.
Consolider la Compétitivité avec Concurrent 2 : Puisque l'écart moyen est généralement négatif avec Concurrent 2, ECS pourrait continuer à exploiter cette compétitivité en consolidant sa position sur le marché.
Adaptation Continue : La tendance à la baisse de l'écart moyen avec le marché suggère que ECS prend des mesures pour s'ajuster aux changements du marché. Cela pourrait être une stratégie bénéfique pour rester concurrentiel.</t>
    </r>
  </si>
  <si>
    <r>
      <rPr>
        <sz val="11"/>
        <color theme="5" tint="-0.499984740745262"/>
        <rFont val="Calibri"/>
        <family val="2"/>
        <scheme val="minor"/>
      </rPr>
      <t>Analyse de l'evolution de la moyenne de l'ecart prix prestataire prix marché : ECS vs Concurrent 1:</t>
    </r>
    <r>
      <rPr>
        <sz val="11"/>
        <color theme="1"/>
        <rFont val="Calibri"/>
        <family val="2"/>
        <scheme val="minor"/>
      </rPr>
      <t xml:space="preserve">
L'écart moyen entre ECS et Concurrent 1 montre une certaine volatilité, atteignant des valeurs élevées à certains moments. Cela peut indiquer des fluctuations dans la compétitivité des prix entre ECS et Concurrent 1.
ECS vs Concurrent 2:
L'écart moyen entre ECS et Concurrent 2 semble globalement plus stable et tend à être négatif. Ceci suggère que, en moyenne, ECS propose des prix inférieurs à Concurrent 2.
ECS vs Prix du Marché:
L'écart moyen entre ECS et le marché montre une tendance générale à la baisse. Cela peut indiquer une adaptation progressive de ECS pour rester compétitif sur le marché.</t>
    </r>
  </si>
  <si>
    <t>Décision Potentielle en Faveur de ECS :
Stabilité Relative : ECS présente une certaine stabilité dans ses écarts par rapport aux concurrents et au marché. Les écarts-types plus bas pour ECS suggèrent une certaine cohérence dans sa politique de tarification.
Compétitivité avec Concurrent 2 : ECS semble maintenir un écart moyen négatif avec Concurrent 2, indiquant une compétitivité potentielle en termes de prix. Cela peut être exploité pour attirer davantage de clients.
Adaptation Continue : La tendance à la baisse de l'écart moyen entre ECS et le marché suggère que ECS prend des mesures pour rester compétitif. Cette adaptation continue peut être un signe positif pour maintenir ou améliorer sa position sur le marché.
Gestion des Écarts : Bien que ECS ait montré des variations dans les écarts, la gestion prudente de ces écarts peut contribuer à maintenir une position compétitive sans sacrifier la rentabilité.
Surveillance et Réajustement : Il est recommandé à ECS de continuer à surveiller activement les tendances du marché, les mouvements des concurrents et les réactions des clients. En fonction de ces informations, ECS peut ajuster sa stratégie de tarification de manière agile.</t>
  </si>
  <si>
    <t>En examinant l'évolution de la médiane des écarts de prix entre ECS, les concurrents et le marché, voici une décision potentielle en fonction de cette métrique :
Décision Potentielle basée sur l'Évolution de la Médiane :
Stabilité Relative de la Médiane : La médiane des écarts de prix entre ECS et Concurrent 1 reste constante à 83,33, indiquant une certaine stabilité dans l'écart médian au fil du temps.
Stabilité vs Concurrent 2 : Pour ECS par rapport à Concurrent 2, la médiane fluctue mais reste principalement négative, suggérant une tendance à des prix plus bas que le concurrent. Cela indique une certaine constance dans la position compétitive de ECS par rapport à Concurrent 2.
Stabilité vs Prix du Marché : La médiane de l'écart entre ECS et le marché varie, mais elle reste généralement autour de 50, indiquant une certaine cohérence dans la position de prix médiane de ECS par rapport au marché.
Conclusion et Décision Potentielle :
ECS semble maintenir une stabilité relative dans la médiane des écarts de prix par rapport à Concurrent 1, Concurrent 2 et le marché.
Une médiane constante peut indiquer une position concurrentielle stable et peut être perçue positivement par les clients.
La stabilité de la médiane avec Concurrent 2 indique une position compétitive constante, ce qui peut être avantageux pour ECS.
Recommandation :
ECS peut envisager de continuer à surveiller attentivement la médiane des écarts par rapport à Concurrent 1 et au marché pour assurer une stabilité continue.
En capitalisant sur la stabilité de la médiane avec Concurrent 2, ECS peut renforcer sa position compétitive en mettant en avant cette constance dans sa stratégie de communication marketing.</t>
  </si>
  <si>
    <r>
      <rPr>
        <sz val="11"/>
        <color theme="4"/>
        <rFont val="Calibri"/>
        <family val="2"/>
        <scheme val="minor"/>
      </rPr>
      <t>Analyse de l'evolution de la mediane de l'ecart des prix prestatire prix marché</t>
    </r>
    <r>
      <rPr>
        <sz val="11"/>
        <color theme="1"/>
        <rFont val="Calibri"/>
        <family val="2"/>
        <scheme val="minor"/>
      </rPr>
      <t xml:space="preserve"> : La médiane représente la valeur centrale d'un ensemble de données. Dans ce contexte, elle donne une idée de la tendance centrale des écarts de prix.
Pour ECS par rapport à Concurrent 1, la médiane reste constante à 83,33, indiquant une certaine stabilité dans l'écart médian au fil du temps.
Pour ECS par rapport à Concurrent 2, la médiane fluctue mais reste principalement négative, suggérant une tendance à des prix plus bas que le concurrent.
La médiane de l'écart entre ECS et le marché varie, avec une tendance à rester autour de 50, indiquant une certaine cohérence dans la position de prix médiane. L'écart médian est souvent utilisé pour mesurer la stabilité ou la tendance centrale d'une série d'écarts. : La médiane des prix est une mesure de tendance centrale qui représente la valeur centrale d'un ensemble de données de prix, une fois ceux-ci triés par ordre croissant ou décroissant.
Elle divise la distribution en deux parties égales, où la moitié des valeurs sont en dessous de la médiane et l'autre moitié au-dessus.
La médiane est moins sensible aux valeurs extrêmes que la moyenne, ce qui la rend utile lorsque la distribution des prix est asymétrique ou contient des valeurs aberrantes.</t>
    </r>
  </si>
  <si>
    <t>Concurrent 1 :
Le quartile de l'écart entre ECS et Concurrent 1 est constant à 150, indiquant une certaine stabilité dans les valeurs supérieures des écarts. Cela peut suggérer une constance dans la compétitivité relative de ECS face à Concurrent 1.
Concurrent 2 :
Le quartile de l'écart entre ECS et Concurrent 2 est principalement négatif, indiquant que la majorité des écarts se situent en dessous de zéro. Ceci confirme une tendance à des prix inférieurs à Concurrent 2.
Prix du Marché :
Le quartile de l'écart entre ECS et le marché montre une diminution progressive, indiquant une certaine constance dans la baisse des écarts supérieurs au fil du temps.
Décision Potentielle :
ECS peut tirer parti de sa constance dans les quartiles supérieurs des écarts par rapport à Concurrent 1 en mettant en avant cette stabilité dans sa stratégie marketing.
La tendance à des quartiles négatifs avec Concurrent 2 peut indiquer une compétitivité solide de ECS, et cela peut être utilisé dans la communication de la proposition de valeur de l'entreprise.
La diminution progressive du quartile avec le marché suggère une adaptation positive aux tendances du marché, ce qui peut être un avantage concurrentiel pour ECS.
Recommandation :
ECS peut envisager de renforcer sa communication marketing en mettant en avant sa stabilité par rapport à Concurrent 1 et sa compétitivité avec Concurrent 2.
La stratégie de tarification de ECS peut être ajustée en continuant à surveiller les quartiles et en s'adaptant aux changements du marché pour maintenir une position concurrentielle favorable.</t>
  </si>
  <si>
    <t>Comme toujours, ces recommandations doivent être évaluées en tenant compte des autres facteurs spécifiques à l'entreprise et du contexte concurrentiel global. La prise de décision finale doit être alignée sur les objectifs commerciaux et la vision à long terme d'ECS.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</si>
</sst>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scheme val="minor"/>
    </font>
    <font>
      <sz val="8"/>
      <name val="Calibri"/>
      <family val="2"/>
      <scheme val="minor"/>
    </font>
    <font>
      <sz val="11"/>
      <color rgb="FFFFFF00"/>
      <name val="Calibri"/>
      <family val="2"/>
      <scheme val="minor"/>
    </font>
    <font>
      <sz val="11"/>
      <color rgb="FF92D050"/>
      <name val="Calibri"/>
      <family val="2"/>
      <scheme val="minor"/>
    </font>
    <font>
      <sz val="11"/>
      <color theme="4"/>
      <name val="Calibri"/>
      <family val="2"/>
      <scheme val="minor"/>
    </font>
    <font>
      <sz val="11"/>
      <color theme="5"/>
      <name val="Calibri"/>
      <family val="2"/>
      <scheme val="minor"/>
    </font>
    <font>
      <sz val="11"/>
      <color theme="5" tint="-0.499984740745262"/>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wrapText="1"/>
    </xf>
    <xf numFmtId="0" fontId="0" fillId="0" borderId="0" xfId="0" applyAlignment="1">
      <alignment vertical="top" wrapText="1"/>
    </xf>
  </cellXfs>
  <cellStyles count="1">
    <cellStyle name="Normal" xfId="0" builtinId="0"/>
  </cellStyles>
  <dxfs count="17">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10" Type="http://schemas.openxmlformats.org/officeDocument/2006/relationships/customXml" Target="../customXml/item3.xml"/><Relationship Id="rId4" Type="http://schemas.openxmlformats.org/officeDocument/2006/relationships/theme" Target="theme/theme1.xml"/><Relationship Id="rId9" Type="http://schemas.openxmlformats.org/officeDocument/2006/relationships/customXml" Target="../customXml/item2.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Evolution des prix </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lineChart>
        <c:grouping val="standard"/>
        <c:varyColors val="0"/>
        <c:ser>
          <c:idx val="0"/>
          <c:order val="0"/>
          <c:spPr>
            <a:ln w="28575" cap="rnd">
              <a:solidFill>
                <a:schemeClr val="accent1"/>
              </a:solidFill>
              <a:round/>
            </a:ln>
            <a:effectLst/>
          </c:spPr>
          <c:marker>
            <c:symbol val="circle"/>
            <c:size val="5"/>
            <c:spPr>
              <a:solidFill>
                <a:schemeClr val="accent1"/>
              </a:solidFill>
              <a:ln w="9525">
                <a:solidFill>
                  <a:schemeClr val="accent1"/>
                </a:solidFill>
              </a:ln>
              <a:effectLst/>
            </c:spPr>
          </c:marker>
          <c:val>
            <c:numRef>
              <c:f>'Simulation de données'!#REF!</c:f>
              <c:numCache>
                <c:formatCode>General</c:formatCode>
                <c:ptCount val="1"/>
                <c:pt idx="0">
                  <c:v>1</c:v>
                </c:pt>
              </c:numCache>
              <c:extLst xmlns:c15="http://schemas.microsoft.com/office/drawing/2012/chart"/>
            </c:numRef>
          </c:val>
          <c:smooth val="0"/>
          <c:extLst xmlns:c15="http://schemas.microsoft.com/office/drawing/2012/chart">
            <c:ext xmlns:c16="http://schemas.microsoft.com/office/drawing/2014/chart" uri="{C3380CC4-5D6E-409C-BE32-E72D297353CC}">
              <c16:uniqueId val="{00000004-0441-4DEA-A5E6-C3236BFC53D9}"/>
            </c:ext>
          </c:extLst>
        </c:ser>
        <c:ser>
          <c:idx val="1"/>
          <c:order val="1"/>
          <c:tx>
            <c:v>PrixMarché</c:v>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Lit>
              <c:ptCount val="10"/>
              <c:pt idx="0">
                <c:v>1</c:v>
              </c:pt>
              <c:pt idx="1">
                <c:v>2</c:v>
              </c:pt>
              <c:pt idx="2">
                <c:v>3</c:v>
              </c:pt>
              <c:pt idx="3">
                <c:v>4</c:v>
              </c:pt>
              <c:pt idx="4">
                <c:v>5</c:v>
              </c:pt>
              <c:pt idx="5">
                <c:v>6</c:v>
              </c:pt>
              <c:pt idx="6">
                <c:v>7</c:v>
              </c:pt>
              <c:pt idx="7">
                <c:v>8</c:v>
              </c:pt>
              <c:pt idx="8">
                <c:v>9</c:v>
              </c:pt>
              <c:pt idx="9">
                <c:v>10</c:v>
              </c:pt>
              <c:extLst>
                <c:ext xmlns:c15="http://schemas.microsoft.com/office/drawing/2012/chart" uri="{02D57815-91ED-43cb-92C2-25804820EDAC}">
                  <c15:autoCat val="1"/>
                </c:ext>
              </c:extLst>
            </c:strLit>
          </c:cat>
          <c:val>
            <c:numRef>
              <c:f>'Simulation de données'!$A$1:$A$10</c:f>
              <c:numCache>
                <c:formatCode>General</c:formatCode>
                <c:ptCount val="10"/>
                <c:pt idx="0">
                  <c:v>0</c:v>
                </c:pt>
                <c:pt idx="1">
                  <c:v>1090.2777777777778</c:v>
                </c:pt>
                <c:pt idx="2">
                  <c:v>1100</c:v>
                </c:pt>
                <c:pt idx="3">
                  <c:v>1151.3888888888889</c:v>
                </c:pt>
                <c:pt idx="4">
                  <c:v>1280.5555555555557</c:v>
                </c:pt>
                <c:pt idx="5">
                  <c:v>1400</c:v>
                </c:pt>
                <c:pt idx="6">
                  <c:v>1440.2777777777778</c:v>
                </c:pt>
                <c:pt idx="7">
                  <c:v>1673.6111111111109</c:v>
                </c:pt>
                <c:pt idx="8">
                  <c:v>1825</c:v>
                </c:pt>
                <c:pt idx="9">
                  <c:v>1875</c:v>
                </c:pt>
              </c:numCache>
            </c:numRef>
          </c:val>
          <c:smooth val="0"/>
          <c:extLst>
            <c:ext xmlns:c16="http://schemas.microsoft.com/office/drawing/2014/chart" uri="{C3380CC4-5D6E-409C-BE32-E72D297353CC}">
              <c16:uniqueId val="{00000000-0441-4DEA-A5E6-C3236BFC53D9}"/>
            </c:ext>
          </c:extLst>
        </c:ser>
        <c:ser>
          <c:idx val="2"/>
          <c:order val="2"/>
          <c:tx>
            <c:v>Concurrent1</c:v>
          </c:tx>
          <c:spPr>
            <a:ln w="28575" cap="rnd">
              <a:solidFill>
                <a:schemeClr val="accent3"/>
              </a:solidFill>
              <a:round/>
            </a:ln>
            <a:effectLst/>
          </c:spPr>
          <c:marker>
            <c:symbol val="circle"/>
            <c:size val="5"/>
            <c:spPr>
              <a:solidFill>
                <a:schemeClr val="accent3"/>
              </a:solidFill>
              <a:ln w="9525">
                <a:solidFill>
                  <a:schemeClr val="accent3"/>
                </a:solidFill>
              </a:ln>
              <a:effectLst/>
            </c:spPr>
          </c:marker>
          <c:cat>
            <c:strLit>
              <c:ptCount val="10"/>
              <c:pt idx="0">
                <c:v>1</c:v>
              </c:pt>
              <c:pt idx="1">
                <c:v>2</c:v>
              </c:pt>
              <c:pt idx="2">
                <c:v>3</c:v>
              </c:pt>
              <c:pt idx="3">
                <c:v>4</c:v>
              </c:pt>
              <c:pt idx="4">
                <c:v>5</c:v>
              </c:pt>
              <c:pt idx="5">
                <c:v>6</c:v>
              </c:pt>
              <c:pt idx="6">
                <c:v>7</c:v>
              </c:pt>
              <c:pt idx="7">
                <c:v>8</c:v>
              </c:pt>
              <c:pt idx="8">
                <c:v>9</c:v>
              </c:pt>
              <c:pt idx="9">
                <c:v>10</c:v>
              </c:pt>
              <c:extLst>
                <c:ext xmlns:c15="http://schemas.microsoft.com/office/drawing/2012/chart" uri="{02D57815-91ED-43cb-92C2-25804820EDAC}">
                  <c15:autoCat val="1"/>
                </c:ext>
              </c:extLst>
            </c:strLit>
          </c:cat>
          <c:val>
            <c:numRef>
              <c:f>'Simulation de données'!$F$1:$F$10</c:f>
              <c:numCache>
                <c:formatCode>General</c:formatCode>
                <c:ptCount val="10"/>
                <c:pt idx="0">
                  <c:v>0</c:v>
                </c:pt>
                <c:pt idx="1">
                  <c:v>1000</c:v>
                </c:pt>
                <c:pt idx="2">
                  <c:v>1100</c:v>
                </c:pt>
                <c:pt idx="3">
                  <c:v>1200</c:v>
                </c:pt>
                <c:pt idx="4">
                  <c:v>1350</c:v>
                </c:pt>
                <c:pt idx="5">
                  <c:v>1400</c:v>
                </c:pt>
                <c:pt idx="6">
                  <c:v>1600</c:v>
                </c:pt>
                <c:pt idx="7">
                  <c:v>1750</c:v>
                </c:pt>
                <c:pt idx="8">
                  <c:v>1950</c:v>
                </c:pt>
                <c:pt idx="9">
                  <c:v>2000</c:v>
                </c:pt>
              </c:numCache>
            </c:numRef>
          </c:val>
          <c:smooth val="0"/>
          <c:extLst>
            <c:ext xmlns:c16="http://schemas.microsoft.com/office/drawing/2014/chart" uri="{C3380CC4-5D6E-409C-BE32-E72D297353CC}">
              <c16:uniqueId val="{00000001-0441-4DEA-A5E6-C3236BFC53D9}"/>
            </c:ext>
          </c:extLst>
        </c:ser>
        <c:ser>
          <c:idx val="3"/>
          <c:order val="3"/>
          <c:tx>
            <c:v>Concurrent2</c:v>
          </c:tx>
          <c:spPr>
            <a:ln w="28575" cap="rnd">
              <a:solidFill>
                <a:schemeClr val="accent4"/>
              </a:solidFill>
              <a:round/>
            </a:ln>
            <a:effectLst/>
          </c:spPr>
          <c:marker>
            <c:symbol val="circle"/>
            <c:size val="5"/>
            <c:spPr>
              <a:solidFill>
                <a:schemeClr val="accent4"/>
              </a:solidFill>
              <a:ln w="9525">
                <a:solidFill>
                  <a:schemeClr val="accent4"/>
                </a:solidFill>
              </a:ln>
              <a:effectLst/>
            </c:spPr>
          </c:marker>
          <c:cat>
            <c:strLit>
              <c:ptCount val="10"/>
              <c:pt idx="0">
                <c:v>1</c:v>
              </c:pt>
              <c:pt idx="1">
                <c:v>2</c:v>
              </c:pt>
              <c:pt idx="2">
                <c:v>3</c:v>
              </c:pt>
              <c:pt idx="3">
                <c:v>4</c:v>
              </c:pt>
              <c:pt idx="4">
                <c:v>5</c:v>
              </c:pt>
              <c:pt idx="5">
                <c:v>6</c:v>
              </c:pt>
              <c:pt idx="6">
                <c:v>7</c:v>
              </c:pt>
              <c:pt idx="7">
                <c:v>8</c:v>
              </c:pt>
              <c:pt idx="8">
                <c:v>9</c:v>
              </c:pt>
              <c:pt idx="9">
                <c:v>10</c:v>
              </c:pt>
              <c:extLst>
                <c:ext xmlns:c15="http://schemas.microsoft.com/office/drawing/2012/chart" uri="{02D57815-91ED-43cb-92C2-25804820EDAC}">
                  <c15:autoCat val="1"/>
                </c:ext>
              </c:extLst>
            </c:strLit>
          </c:cat>
          <c:val>
            <c:numRef>
              <c:f>'Simulation de données'!$H$1:$H$10</c:f>
              <c:numCache>
                <c:formatCode>General</c:formatCode>
                <c:ptCount val="10"/>
                <c:pt idx="0">
                  <c:v>0</c:v>
                </c:pt>
                <c:pt idx="1">
                  <c:v>1150</c:v>
                </c:pt>
                <c:pt idx="2">
                  <c:v>900</c:v>
                </c:pt>
                <c:pt idx="3">
                  <c:v>1000</c:v>
                </c:pt>
                <c:pt idx="4">
                  <c:v>1250</c:v>
                </c:pt>
                <c:pt idx="5">
                  <c:v>1300</c:v>
                </c:pt>
                <c:pt idx="6">
                  <c:v>1350</c:v>
                </c:pt>
                <c:pt idx="7">
                  <c:v>1400</c:v>
                </c:pt>
                <c:pt idx="8">
                  <c:v>1650</c:v>
                </c:pt>
                <c:pt idx="9">
                  <c:v>1800</c:v>
                </c:pt>
              </c:numCache>
            </c:numRef>
          </c:val>
          <c:smooth val="0"/>
          <c:extLst>
            <c:ext xmlns:c16="http://schemas.microsoft.com/office/drawing/2014/chart" uri="{C3380CC4-5D6E-409C-BE32-E72D297353CC}">
              <c16:uniqueId val="{00000002-0441-4DEA-A5E6-C3236BFC53D9}"/>
            </c:ext>
          </c:extLst>
        </c:ser>
        <c:ser>
          <c:idx val="4"/>
          <c:order val="4"/>
          <c:tx>
            <c:v>ECS</c:v>
          </c:tx>
          <c:spPr>
            <a:ln w="28575" cap="rnd">
              <a:solidFill>
                <a:schemeClr val="accent5"/>
              </a:solidFill>
              <a:round/>
            </a:ln>
            <a:effectLst/>
          </c:spPr>
          <c:marker>
            <c:symbol val="circle"/>
            <c:size val="5"/>
            <c:spPr>
              <a:solidFill>
                <a:schemeClr val="accent5"/>
              </a:solidFill>
              <a:ln w="9525">
                <a:solidFill>
                  <a:schemeClr val="accent5"/>
                </a:solidFill>
              </a:ln>
              <a:effectLst/>
            </c:spPr>
          </c:marker>
          <c:cat>
            <c:strLit>
              <c:ptCount val="10"/>
              <c:pt idx="0">
                <c:v>1</c:v>
              </c:pt>
              <c:pt idx="1">
                <c:v>2</c:v>
              </c:pt>
              <c:pt idx="2">
                <c:v>3</c:v>
              </c:pt>
              <c:pt idx="3">
                <c:v>4</c:v>
              </c:pt>
              <c:pt idx="4">
                <c:v>5</c:v>
              </c:pt>
              <c:pt idx="5">
                <c:v>6</c:v>
              </c:pt>
              <c:pt idx="6">
                <c:v>7</c:v>
              </c:pt>
              <c:pt idx="7">
                <c:v>8</c:v>
              </c:pt>
              <c:pt idx="8">
                <c:v>9</c:v>
              </c:pt>
              <c:pt idx="9">
                <c:v>10</c:v>
              </c:pt>
              <c:extLst>
                <c:ext xmlns:c15="http://schemas.microsoft.com/office/drawing/2012/chart" uri="{02D57815-91ED-43cb-92C2-25804820EDAC}">
                  <c15:autoCat val="1"/>
                </c:ext>
              </c:extLst>
            </c:strLit>
          </c:cat>
          <c:val>
            <c:numRef>
              <c:f>'Simulation de données'!$J$1:$J$10</c:f>
              <c:numCache>
                <c:formatCode>General</c:formatCode>
                <c:ptCount val="10"/>
                <c:pt idx="0">
                  <c:v>0</c:v>
                </c:pt>
                <c:pt idx="1">
                  <c:v>1050</c:v>
                </c:pt>
                <c:pt idx="2">
                  <c:v>1150</c:v>
                </c:pt>
                <c:pt idx="3">
                  <c:v>1200</c:v>
                </c:pt>
                <c:pt idx="4">
                  <c:v>1400</c:v>
                </c:pt>
                <c:pt idx="5">
                  <c:v>1500</c:v>
                </c:pt>
                <c:pt idx="6">
                  <c:v>1600</c:v>
                </c:pt>
                <c:pt idx="7">
                  <c:v>1700</c:v>
                </c:pt>
                <c:pt idx="8">
                  <c:v>1800</c:v>
                </c:pt>
                <c:pt idx="9">
                  <c:v>1900</c:v>
                </c:pt>
              </c:numCache>
            </c:numRef>
          </c:val>
          <c:smooth val="0"/>
          <c:extLst>
            <c:ext xmlns:c16="http://schemas.microsoft.com/office/drawing/2014/chart" uri="{C3380CC4-5D6E-409C-BE32-E72D297353CC}">
              <c16:uniqueId val="{00000003-0441-4DEA-A5E6-C3236BFC53D9}"/>
            </c:ext>
          </c:extLst>
        </c:ser>
        <c:ser>
          <c:idx val="5"/>
          <c:order val="5"/>
          <c:tx>
            <c:v>Estimation prix ou moyenne</c:v>
          </c:tx>
          <c:spPr>
            <a:ln w="28575" cap="rnd">
              <a:solidFill>
                <a:schemeClr val="accent6"/>
              </a:solidFill>
              <a:round/>
            </a:ln>
            <a:effectLst/>
          </c:spPr>
          <c:marker>
            <c:symbol val="circle"/>
            <c:size val="5"/>
            <c:spPr>
              <a:solidFill>
                <a:schemeClr val="accent6"/>
              </a:solidFill>
              <a:ln w="9525">
                <a:solidFill>
                  <a:schemeClr val="accent6"/>
                </a:solidFill>
              </a:ln>
              <a:effectLst/>
            </c:spPr>
          </c:marker>
          <c:cat>
            <c:strLit>
              <c:ptCount val="31"/>
              <c:pt idx="0">
                <c:v>1</c:v>
              </c:pt>
              <c:pt idx="1">
                <c:v>2</c:v>
              </c:pt>
              <c:pt idx="2">
                <c:v>3</c:v>
              </c:pt>
              <c:pt idx="3">
                <c:v>4</c:v>
              </c:pt>
              <c:pt idx="4">
                <c:v>5</c:v>
              </c:pt>
              <c:pt idx="5">
                <c:v>6</c:v>
              </c:pt>
              <c:pt idx="6">
                <c:v>7</c:v>
              </c:pt>
              <c:pt idx="7">
                <c:v>8</c:v>
              </c:pt>
              <c:pt idx="8">
                <c:v>9</c:v>
              </c:pt>
              <c:pt idx="9">
                <c:v>10</c:v>
              </c:pt>
              <c:pt idx="10">
                <c:v>11</c:v>
              </c:pt>
              <c:pt idx="11">
                <c:v>12</c:v>
              </c:pt>
              <c:pt idx="12">
                <c:v>13</c:v>
              </c:pt>
              <c:pt idx="13">
                <c:v>14</c:v>
              </c:pt>
              <c:pt idx="14">
                <c:v>15</c:v>
              </c:pt>
              <c:pt idx="15">
                <c:v>16</c:v>
              </c:pt>
              <c:pt idx="16">
                <c:v>17</c:v>
              </c:pt>
              <c:pt idx="17">
                <c:v>18</c:v>
              </c:pt>
              <c:pt idx="18">
                <c:v>19</c:v>
              </c:pt>
              <c:pt idx="19">
                <c:v>20</c:v>
              </c:pt>
              <c:pt idx="20">
                <c:v>21</c:v>
              </c:pt>
              <c:pt idx="21">
                <c:v>22</c:v>
              </c:pt>
              <c:pt idx="22">
                <c:v>23</c:v>
              </c:pt>
              <c:pt idx="23">
                <c:v>24</c:v>
              </c:pt>
              <c:pt idx="24">
                <c:v>25</c:v>
              </c:pt>
              <c:pt idx="25">
                <c:v>26</c:v>
              </c:pt>
              <c:pt idx="26">
                <c:v>27</c:v>
              </c:pt>
              <c:pt idx="27">
                <c:v>28</c:v>
              </c:pt>
              <c:pt idx="28">
                <c:v>29</c:v>
              </c:pt>
              <c:pt idx="29">
                <c:v>30</c:v>
              </c:pt>
              <c:pt idx="30">
                <c:v>31</c:v>
              </c:pt>
              <c:extLst>
                <c:ext xmlns:c15="http://schemas.microsoft.com/office/drawing/2012/chart" uri="{02D57815-91ED-43cb-92C2-25804820EDAC}">
                  <c15:autoCat val="1"/>
                </c:ext>
              </c:extLst>
            </c:strLit>
          </c:cat>
          <c:val>
            <c:numLit>
              <c:formatCode>General</c:formatCode>
              <c:ptCount val="1"/>
              <c:pt idx="0">
                <c:v>1</c:v>
              </c:pt>
            </c:numLit>
          </c:val>
          <c:smooth val="0"/>
          <c:extLst>
            <c:ext xmlns:c16="http://schemas.microsoft.com/office/drawing/2014/chart" uri="{C3380CC4-5D6E-409C-BE32-E72D297353CC}">
              <c16:uniqueId val="{00000002-450D-4173-8416-BB12581405D3}"/>
            </c:ext>
          </c:extLst>
        </c:ser>
        <c:dLbls>
          <c:showLegendKey val="0"/>
          <c:showVal val="0"/>
          <c:showCatName val="0"/>
          <c:showSerName val="0"/>
          <c:showPercent val="0"/>
          <c:showBubbleSize val="0"/>
        </c:dLbls>
        <c:marker val="1"/>
        <c:smooth val="0"/>
        <c:axId val="1298696304"/>
        <c:axId val="1372732736"/>
        <c:extLst/>
      </c:lineChart>
      <c:catAx>
        <c:axId val="12986963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372732736"/>
        <c:crosses val="autoZero"/>
        <c:auto val="1"/>
        <c:lblAlgn val="ctr"/>
        <c:lblOffset val="100"/>
        <c:noMultiLvlLbl val="0"/>
      </c:catAx>
      <c:valAx>
        <c:axId val="13727327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298696304"/>
        <c:crosses val="autoZero"/>
        <c:crossBetween val="between"/>
      </c:valAx>
      <c:spPr>
        <a:noFill/>
        <a:ln>
          <a:noFill/>
        </a:ln>
        <a:effectLst/>
      </c:spPr>
    </c:plotArea>
    <c:legend>
      <c:legendPos val="b"/>
      <c:legendEntry>
        <c:idx val="2"/>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Entry>
      <c:layout>
        <c:manualLayout>
          <c:xMode val="edge"/>
          <c:yMode val="edge"/>
          <c:x val="9.7128949306868537E-2"/>
          <c:y val="0.92696322442453316"/>
          <c:w val="0.77871777869871528"/>
          <c:h val="5.5039524169067912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zero"/>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Evolution</a:t>
            </a:r>
            <a:r>
              <a:rPr lang="fr-FR" baseline="0"/>
              <a:t> des ecart des prix entre le prix du prestataire et le prix du marché </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'Simulation de données'!$G$1</c:f>
              <c:strCache>
                <c:ptCount val="1"/>
                <c:pt idx="0">
                  <c:v>Evolution ecart Cocurrent 1</c:v>
                </c:pt>
              </c:strCache>
            </c:strRef>
          </c:tx>
          <c:spPr>
            <a:solidFill>
              <a:schemeClr val="accent1"/>
            </a:solidFill>
            <a:ln>
              <a:noFill/>
            </a:ln>
            <a:effectLst/>
          </c:spPr>
          <c:invertIfNegative val="0"/>
          <c:cat>
            <c:strLit>
              <c:ptCount val="9"/>
              <c:pt idx="0">
                <c:v>1</c:v>
              </c:pt>
              <c:pt idx="1">
                <c:v>2</c:v>
              </c:pt>
              <c:pt idx="2">
                <c:v>3</c:v>
              </c:pt>
              <c:pt idx="3">
                <c:v>4</c:v>
              </c:pt>
              <c:pt idx="4">
                <c:v>5</c:v>
              </c:pt>
              <c:pt idx="5">
                <c:v>6</c:v>
              </c:pt>
              <c:pt idx="6">
                <c:v>7</c:v>
              </c:pt>
              <c:pt idx="7">
                <c:v>8</c:v>
              </c:pt>
              <c:pt idx="8">
                <c:v>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'Simulation de données'!$G$2:$G$11</c15:sqref>
                  </c15:fullRef>
                </c:ext>
              </c:extLst>
              <c:f>'Simulation de données'!$G$2:$G$10</c:f>
              <c:numCache>
                <c:formatCode>General</c:formatCode>
                <c:ptCount val="9"/>
                <c:pt idx="0">
                  <c:v>-108.33333333333348</c:v>
                </c:pt>
                <c:pt idx="1">
                  <c:v>0</c:v>
                </c:pt>
                <c:pt idx="2">
                  <c:v>58.333333333333485</c:v>
                </c:pt>
                <c:pt idx="3">
                  <c:v>83.333333333333485</c:v>
                </c:pt>
                <c:pt idx="4">
                  <c:v>0</c:v>
                </c:pt>
                <c:pt idx="5">
                  <c:v>191.66666666666652</c:v>
                </c:pt>
                <c:pt idx="6">
                  <c:v>91.666666666666515</c:v>
                </c:pt>
                <c:pt idx="7">
                  <c:v>150</c:v>
                </c:pt>
                <c:pt idx="8">
                  <c:v>150</c:v>
                </c:pt>
              </c:numCache>
            </c:numRef>
          </c:val>
          <c:extLst>
            <c:ext xmlns:c16="http://schemas.microsoft.com/office/drawing/2014/chart" uri="{C3380CC4-5D6E-409C-BE32-E72D297353CC}">
              <c16:uniqueId val="{00000000-598F-4E49-BB93-74F311F8CCFE}"/>
            </c:ext>
          </c:extLst>
        </c:ser>
        <c:ser>
          <c:idx val="1"/>
          <c:order val="1"/>
          <c:tx>
            <c:strRef>
              <c:f>'Simulation de données'!$I$1</c:f>
              <c:strCache>
                <c:ptCount val="1"/>
                <c:pt idx="0">
                  <c:v>Evolution ecart Cocurrent 2</c:v>
                </c:pt>
              </c:strCache>
            </c:strRef>
          </c:tx>
          <c:spPr>
            <a:solidFill>
              <a:schemeClr val="accent2"/>
            </a:solidFill>
            <a:ln>
              <a:noFill/>
            </a:ln>
            <a:effectLst/>
          </c:spPr>
          <c:invertIfNegative val="0"/>
          <c:cat>
            <c:strLit>
              <c:ptCount val="9"/>
              <c:pt idx="0">
                <c:v>1</c:v>
              </c:pt>
              <c:pt idx="1">
                <c:v>2</c:v>
              </c:pt>
              <c:pt idx="2">
                <c:v>3</c:v>
              </c:pt>
              <c:pt idx="3">
                <c:v>4</c:v>
              </c:pt>
              <c:pt idx="4">
                <c:v>5</c:v>
              </c:pt>
              <c:pt idx="5">
                <c:v>6</c:v>
              </c:pt>
              <c:pt idx="6">
                <c:v>7</c:v>
              </c:pt>
              <c:pt idx="7">
                <c:v>8</c:v>
              </c:pt>
              <c:pt idx="8">
                <c:v>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'Simulation de données'!$I$2:$I$11</c15:sqref>
                  </c15:fullRef>
                </c:ext>
              </c:extLst>
              <c:f>'Simulation de données'!$I$2:$I$10</c:f>
              <c:numCache>
                <c:formatCode>General</c:formatCode>
                <c:ptCount val="9"/>
                <c:pt idx="0">
                  <c:v>41.666666666666515</c:v>
                </c:pt>
                <c:pt idx="1">
                  <c:v>-200</c:v>
                </c:pt>
                <c:pt idx="2">
                  <c:v>-141.66666666666652</c:v>
                </c:pt>
                <c:pt idx="3">
                  <c:v>-16.666666666666515</c:v>
                </c:pt>
                <c:pt idx="4">
                  <c:v>-100</c:v>
                </c:pt>
                <c:pt idx="5">
                  <c:v>-58.333333333333485</c:v>
                </c:pt>
                <c:pt idx="6">
                  <c:v>-258.33333333333348</c:v>
                </c:pt>
                <c:pt idx="7">
                  <c:v>-150</c:v>
                </c:pt>
                <c:pt idx="8">
                  <c:v>-50</c:v>
                </c:pt>
              </c:numCache>
            </c:numRef>
          </c:val>
          <c:extLst>
            <c:ext xmlns:c16="http://schemas.microsoft.com/office/drawing/2014/chart" uri="{C3380CC4-5D6E-409C-BE32-E72D297353CC}">
              <c16:uniqueId val="{00000001-598F-4E49-BB93-74F311F8CCFE}"/>
            </c:ext>
          </c:extLst>
        </c:ser>
        <c:ser>
          <c:idx val="2"/>
          <c:order val="2"/>
          <c:tx>
            <c:strRef>
              <c:f>'Simulation de données'!$K$1</c:f>
              <c:strCache>
                <c:ptCount val="1"/>
                <c:pt idx="0">
                  <c:v>Evolution ecart Ecs</c:v>
                </c:pt>
              </c:strCache>
            </c:strRef>
          </c:tx>
          <c:spPr>
            <a:solidFill>
              <a:schemeClr val="accent3"/>
            </a:solidFill>
            <a:ln>
              <a:noFill/>
            </a:ln>
            <a:effectLst/>
          </c:spPr>
          <c:invertIfNegative val="0"/>
          <c:cat>
            <c:strLit>
              <c:ptCount val="9"/>
              <c:pt idx="0">
                <c:v>1</c:v>
              </c:pt>
              <c:pt idx="1">
                <c:v>2</c:v>
              </c:pt>
              <c:pt idx="2">
                <c:v>3</c:v>
              </c:pt>
              <c:pt idx="3">
                <c:v>4</c:v>
              </c:pt>
              <c:pt idx="4">
                <c:v>5</c:v>
              </c:pt>
              <c:pt idx="5">
                <c:v>6</c:v>
              </c:pt>
              <c:pt idx="6">
                <c:v>7</c:v>
              </c:pt>
              <c:pt idx="7">
                <c:v>8</c:v>
              </c:pt>
              <c:pt idx="8">
                <c:v>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'Simulation de données'!$K$2:$K$11</c15:sqref>
                  </c15:fullRef>
                </c:ext>
              </c:extLst>
              <c:f>'Simulation de données'!$K$2:$K$10</c:f>
              <c:numCache>
                <c:formatCode>General</c:formatCode>
                <c:ptCount val="9"/>
                <c:pt idx="0">
                  <c:v>-58.333333333333485</c:v>
                </c:pt>
                <c:pt idx="1">
                  <c:v>50</c:v>
                </c:pt>
                <c:pt idx="2">
                  <c:v>58.333333333333485</c:v>
                </c:pt>
                <c:pt idx="3">
                  <c:v>133.33333333333348</c:v>
                </c:pt>
                <c:pt idx="4">
                  <c:v>100</c:v>
                </c:pt>
                <c:pt idx="5">
                  <c:v>191.66666666666652</c:v>
                </c:pt>
                <c:pt idx="6">
                  <c:v>41.666666666666515</c:v>
                </c:pt>
                <c:pt idx="7">
                  <c:v>0</c:v>
                </c:pt>
                <c:pt idx="8">
                  <c:v>50</c:v>
                </c:pt>
              </c:numCache>
            </c:numRef>
          </c:val>
          <c:extLst>
            <c:ext xmlns:c16="http://schemas.microsoft.com/office/drawing/2014/chart" uri="{C3380CC4-5D6E-409C-BE32-E72D297353CC}">
              <c16:uniqueId val="{00000002-598F-4E49-BB93-74F311F8CCFE}"/>
            </c:ext>
          </c:extLst>
        </c:ser>
        <c:dLbls>
          <c:showLegendKey val="0"/>
          <c:showVal val="0"/>
          <c:showCatName val="0"/>
          <c:showSerName val="0"/>
          <c:showPercent val="0"/>
          <c:showBubbleSize val="0"/>
        </c:dLbls>
        <c:gapWidth val="219"/>
        <c:overlap val="-27"/>
        <c:axId val="92305855"/>
        <c:axId val="2098701296"/>
      </c:barChart>
      <c:catAx>
        <c:axId val="9230585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98701296"/>
        <c:crosses val="autoZero"/>
        <c:auto val="1"/>
        <c:lblAlgn val="ctr"/>
        <c:lblOffset val="100"/>
        <c:noMultiLvlLbl val="0"/>
      </c:catAx>
      <c:valAx>
        <c:axId val="20987012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9230585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fr-FR" sz="1100"/>
              <a:t>evolution de l'ecart-type</a:t>
            </a:r>
            <a:r>
              <a:rPr lang="fr-FR" sz="1100" baseline="0"/>
              <a:t> , de l'ecart de prix entre le prix du prestataire et le prix du marché </a:t>
            </a:r>
            <a:endParaRPr lang="fr-FR" sz="1100"/>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'Simulation de données'!$L$1</c:f>
              <c:strCache>
                <c:ptCount val="1"/>
                <c:pt idx="0">
                  <c:v>Écart-type Écart Prix Concurrent 1</c:v>
                </c:pt>
              </c:strCache>
            </c:strRef>
          </c:tx>
          <c:spPr>
            <a:solidFill>
              <a:schemeClr val="accent1"/>
            </a:solidFill>
            <a:ln>
              <a:noFill/>
            </a:ln>
            <a:effectLst/>
          </c:spPr>
          <c:invertIfNegative val="0"/>
          <c:val>
            <c:numRef>
              <c:f>'Simulation de données'!$L$2:$L$10</c:f>
              <c:numCache>
                <c:formatCode>General</c:formatCode>
                <c:ptCount val="9"/>
                <c:pt idx="0">
                  <c:v>93.520810386291259</c:v>
                </c:pt>
                <c:pt idx="1">
                  <c:v>70.491120120714569</c:v>
                </c:pt>
                <c:pt idx="2">
                  <c:v>65.060004863235491</c:v>
                </c:pt>
                <c:pt idx="3">
                  <c:v>67.836950490509551</c:v>
                </c:pt>
                <c:pt idx="4">
                  <c:v>74.302310417195855</c:v>
                </c:pt>
                <c:pt idx="5">
                  <c:v>41.107357185968759</c:v>
                </c:pt>
                <c:pt idx="6">
                  <c:v>33.678765702728278</c:v>
                </c:pt>
                <c:pt idx="7">
                  <c:v>0</c:v>
                </c:pt>
                <c:pt idx="8">
                  <c:v>0</c:v>
                </c:pt>
              </c:numCache>
            </c:numRef>
          </c:val>
          <c:extLst>
            <c:ext xmlns:c16="http://schemas.microsoft.com/office/drawing/2014/chart" uri="{C3380CC4-5D6E-409C-BE32-E72D297353CC}">
              <c16:uniqueId val="{00000000-62AB-43EB-A786-DFD235A22176}"/>
            </c:ext>
          </c:extLst>
        </c:ser>
        <c:ser>
          <c:idx val="1"/>
          <c:order val="1"/>
          <c:tx>
            <c:strRef>
              <c:f>'Simulation de données'!$M$1</c:f>
              <c:strCache>
                <c:ptCount val="1"/>
                <c:pt idx="0">
                  <c:v>Écart-type Écart Prix Concurrent 2</c:v>
                </c:pt>
              </c:strCache>
            </c:strRef>
          </c:tx>
          <c:spPr>
            <a:solidFill>
              <a:schemeClr val="accent2"/>
            </a:solidFill>
            <a:ln>
              <a:noFill/>
            </a:ln>
            <a:effectLst/>
          </c:spPr>
          <c:invertIfNegative val="0"/>
          <c:val>
            <c:numRef>
              <c:f>'Simulation de données'!$M$2:$M$10</c:f>
              <c:numCache>
                <c:formatCode>General</c:formatCode>
                <c:ptCount val="9"/>
                <c:pt idx="0">
                  <c:v>93.829698633636312</c:v>
                </c:pt>
                <c:pt idx="1">
                  <c:v>81.642063835388143</c:v>
                </c:pt>
                <c:pt idx="2">
                  <c:v>81.325006079044471</c:v>
                </c:pt>
                <c:pt idx="3">
                  <c:v>87.823476149392832</c:v>
                </c:pt>
                <c:pt idx="4">
                  <c:v>85.269181615243241</c:v>
                </c:pt>
                <c:pt idx="5">
                  <c:v>97.30155493409444</c:v>
                </c:pt>
                <c:pt idx="6">
                  <c:v>104.19444074172814</c:v>
                </c:pt>
                <c:pt idx="7">
                  <c:v>70.710678118654755</c:v>
                </c:pt>
                <c:pt idx="8">
                  <c:v>0</c:v>
                </c:pt>
              </c:numCache>
            </c:numRef>
          </c:val>
          <c:extLst>
            <c:ext xmlns:c16="http://schemas.microsoft.com/office/drawing/2014/chart" uri="{C3380CC4-5D6E-409C-BE32-E72D297353CC}">
              <c16:uniqueId val="{00000001-62AB-43EB-A786-DFD235A22176}"/>
            </c:ext>
          </c:extLst>
        </c:ser>
        <c:ser>
          <c:idx val="2"/>
          <c:order val="2"/>
          <c:tx>
            <c:strRef>
              <c:f>'Simulation de données'!$N$1</c:f>
              <c:strCache>
                <c:ptCount val="1"/>
                <c:pt idx="0">
                  <c:v>Écart-type Écart Prix ECS</c:v>
                </c:pt>
              </c:strCache>
            </c:strRef>
          </c:tx>
          <c:spPr>
            <a:solidFill>
              <a:schemeClr val="accent3"/>
            </a:solidFill>
            <a:ln>
              <a:noFill/>
            </a:ln>
            <a:effectLst/>
          </c:spPr>
          <c:invertIfNegative val="0"/>
          <c:val>
            <c:numRef>
              <c:f>'Simulation de données'!$N$2:$N$10</c:f>
              <c:numCache>
                <c:formatCode>General</c:formatCode>
                <c:ptCount val="9"/>
                <c:pt idx="0">
                  <c:v>72.780958369855028</c:v>
                </c:pt>
                <c:pt idx="1">
                  <c:v>60.73908223797185</c:v>
                </c:pt>
                <c:pt idx="2">
                  <c:v>64.447181113211997</c:v>
                </c:pt>
                <c:pt idx="3">
                  <c:v>69.655235638477691</c:v>
                </c:pt>
                <c:pt idx="4">
                  <c:v>73.456336236796659</c:v>
                </c:pt>
                <c:pt idx="5">
                  <c:v>83.472106673981699</c:v>
                </c:pt>
                <c:pt idx="6">
                  <c:v>26.787918780535957</c:v>
                </c:pt>
                <c:pt idx="7">
                  <c:v>35.355339059327378</c:v>
                </c:pt>
                <c:pt idx="8">
                  <c:v>0</c:v>
                </c:pt>
              </c:numCache>
            </c:numRef>
          </c:val>
          <c:extLst>
            <c:ext xmlns:c16="http://schemas.microsoft.com/office/drawing/2014/chart" uri="{C3380CC4-5D6E-409C-BE32-E72D297353CC}">
              <c16:uniqueId val="{00000002-62AB-43EB-A786-DFD235A22176}"/>
            </c:ext>
          </c:extLst>
        </c:ser>
        <c:dLbls>
          <c:showLegendKey val="0"/>
          <c:showVal val="0"/>
          <c:showCatName val="0"/>
          <c:showSerName val="0"/>
          <c:showPercent val="0"/>
          <c:showBubbleSize val="0"/>
        </c:dLbls>
        <c:gapWidth val="0"/>
        <c:axId val="1897123968"/>
        <c:axId val="1909897248"/>
      </c:barChart>
      <c:catAx>
        <c:axId val="1897123968"/>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fr-FR"/>
          </a:p>
        </c:txPr>
        <c:crossAx val="1909897248"/>
        <c:crosses val="autoZero"/>
        <c:auto val="1"/>
        <c:lblAlgn val="ctr"/>
        <c:lblOffset val="100"/>
        <c:noMultiLvlLbl val="0"/>
      </c:catAx>
      <c:valAx>
        <c:axId val="19098972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fr-FR"/>
          </a:p>
        </c:txPr>
        <c:crossAx val="1897123968"/>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Median</a:t>
            </a:r>
            <a:r>
              <a:rPr lang="fr-FR" baseline="0"/>
              <a:t> de l'evoltion des ecarts des prix</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1"/>
          <c:order val="1"/>
          <c:tx>
            <c:v>Mediane ecart prix concurrent 1</c:v>
          </c:tx>
          <c:spPr>
            <a:solidFill>
              <a:schemeClr val="accent2"/>
            </a:solidFill>
            <a:ln>
              <a:noFill/>
            </a:ln>
            <a:effectLst/>
          </c:spPr>
          <c:invertIfNegative val="0"/>
          <c:cat>
            <c:strLit>
              <c:ptCount val="10"/>
              <c:pt idx="0">
                <c:v>1</c:v>
              </c:pt>
              <c:pt idx="1">
                <c:v>2</c:v>
              </c:pt>
              <c:pt idx="2">
                <c:v>3</c:v>
              </c:pt>
              <c:pt idx="3">
                <c:v>4</c:v>
              </c:pt>
              <c:pt idx="4">
                <c:v>5</c:v>
              </c:pt>
              <c:pt idx="5">
                <c:v>6</c:v>
              </c:pt>
              <c:pt idx="6">
                <c:v>7</c:v>
              </c:pt>
              <c:pt idx="7">
                <c:v>8</c:v>
              </c:pt>
              <c:pt idx="8">
                <c:v>9</c:v>
              </c:pt>
              <c:pt idx="9">
                <c:v>10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'Simulation de données'!$O$1:$O$11</c15:sqref>
                  </c15:fullRef>
                </c:ext>
              </c:extLst>
              <c:f>'Simulation de données'!$O$1:$O$10</c:f>
              <c:numCache>
                <c:formatCode>General</c:formatCode>
                <c:ptCount val="10"/>
                <c:pt idx="0">
                  <c:v>0</c:v>
                </c:pt>
                <c:pt idx="1">
                  <c:v>83.333333333333485</c:v>
                </c:pt>
                <c:pt idx="2">
                  <c:v>87.5</c:v>
                </c:pt>
                <c:pt idx="3">
                  <c:v>91.666666666666515</c:v>
                </c:pt>
                <c:pt idx="4">
                  <c:v>120.83333333333326</c:v>
                </c:pt>
                <c:pt idx="5">
                  <c:v>150</c:v>
                </c:pt>
                <c:pt idx="6">
                  <c:v>150</c:v>
                </c:pt>
                <c:pt idx="7">
                  <c:v>150</c:v>
                </c:pt>
                <c:pt idx="8">
                  <c:v>150</c:v>
                </c:pt>
                <c:pt idx="9">
                  <c:v>150</c:v>
                </c:pt>
              </c:numCache>
            </c:numRef>
          </c:val>
          <c:extLst>
            <c:ext xmlns:c16="http://schemas.microsoft.com/office/drawing/2014/chart" uri="{C3380CC4-5D6E-409C-BE32-E72D297353CC}">
              <c16:uniqueId val="{00000000-8244-46DA-91A9-624881D9341D}"/>
            </c:ext>
          </c:extLst>
        </c:ser>
        <c:ser>
          <c:idx val="2"/>
          <c:order val="2"/>
          <c:tx>
            <c:v>Mediane ecart ECS</c:v>
          </c:tx>
          <c:spPr>
            <a:solidFill>
              <a:schemeClr val="accent3"/>
            </a:solidFill>
            <a:ln>
              <a:noFill/>
            </a:ln>
            <a:effectLst/>
          </c:spPr>
          <c:invertIfNegative val="0"/>
          <c:cat>
            <c:strLit>
              <c:ptCount val="10"/>
              <c:pt idx="0">
                <c:v>1</c:v>
              </c:pt>
              <c:pt idx="1">
                <c:v>2</c:v>
              </c:pt>
              <c:pt idx="2">
                <c:v>3</c:v>
              </c:pt>
              <c:pt idx="3">
                <c:v>4</c:v>
              </c:pt>
              <c:pt idx="4">
                <c:v>5</c:v>
              </c:pt>
              <c:pt idx="5">
                <c:v>6</c:v>
              </c:pt>
              <c:pt idx="6">
                <c:v>7</c:v>
              </c:pt>
              <c:pt idx="7">
                <c:v>8</c:v>
              </c:pt>
              <c:pt idx="8">
                <c:v>9</c:v>
              </c:pt>
              <c:pt idx="9">
                <c:v>10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'Simulation de données'!$P$1:$P$11</c15:sqref>
                  </c15:fullRef>
                </c:ext>
              </c:extLst>
              <c:f>'Simulation de données'!$P$1:$P$10</c:f>
              <c:numCache>
                <c:formatCode>General</c:formatCode>
                <c:ptCount val="10"/>
                <c:pt idx="0">
                  <c:v>0</c:v>
                </c:pt>
                <c:pt idx="1">
                  <c:v>50</c:v>
                </c:pt>
                <c:pt idx="2">
                  <c:v>54.166666666666742</c:v>
                </c:pt>
                <c:pt idx="3">
                  <c:v>58.333333333333485</c:v>
                </c:pt>
                <c:pt idx="4">
                  <c:v>75</c:v>
                </c:pt>
                <c:pt idx="5">
                  <c:v>50</c:v>
                </c:pt>
                <c:pt idx="6">
                  <c:v>45.833333333333258</c:v>
                </c:pt>
                <c:pt idx="7">
                  <c:v>41.666666666666515</c:v>
                </c:pt>
                <c:pt idx="8">
                  <c:v>25</c:v>
                </c:pt>
                <c:pt idx="9">
                  <c:v>50</c:v>
                </c:pt>
              </c:numCache>
            </c:numRef>
          </c:val>
          <c:extLst>
            <c:ext xmlns:c16="http://schemas.microsoft.com/office/drawing/2014/chart" uri="{C3380CC4-5D6E-409C-BE32-E72D297353CC}">
              <c16:uniqueId val="{00000001-8244-46DA-91A9-624881D9341D}"/>
            </c:ext>
          </c:extLst>
        </c:ser>
        <c:ser>
          <c:idx val="3"/>
          <c:order val="3"/>
          <c:tx>
            <c:v>Mediane concurrent 2</c:v>
          </c:tx>
          <c:spPr>
            <a:solidFill>
              <a:schemeClr val="accent4"/>
            </a:solidFill>
            <a:ln>
              <a:noFill/>
            </a:ln>
            <a:effectLst/>
          </c:spPr>
          <c:invertIfNegative val="0"/>
          <c:cat>
            <c:strLit>
              <c:ptCount val="10"/>
              <c:pt idx="0">
                <c:v>1</c:v>
              </c:pt>
              <c:pt idx="1">
                <c:v>2</c:v>
              </c:pt>
              <c:pt idx="2">
                <c:v>3</c:v>
              </c:pt>
              <c:pt idx="3">
                <c:v>4</c:v>
              </c:pt>
              <c:pt idx="4">
                <c:v>5</c:v>
              </c:pt>
              <c:pt idx="5">
                <c:v>6</c:v>
              </c:pt>
              <c:pt idx="6">
                <c:v>7</c:v>
              </c:pt>
              <c:pt idx="7">
                <c:v>8</c:v>
              </c:pt>
              <c:pt idx="8">
                <c:v>9</c:v>
              </c:pt>
              <c:pt idx="9">
                <c:v>10</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'Simulation de données'!$Q$1:$Q$11</c15:sqref>
                  </c15:fullRef>
                </c:ext>
              </c:extLst>
              <c:f>'Simulation de données'!$Q$1:$Q$10</c:f>
              <c:numCache>
                <c:formatCode>General</c:formatCode>
                <c:ptCount val="10"/>
                <c:pt idx="0">
                  <c:v>0</c:v>
                </c:pt>
                <c:pt idx="1">
                  <c:v>-100</c:v>
                </c:pt>
                <c:pt idx="2">
                  <c:v>-120.83333333333326</c:v>
                </c:pt>
                <c:pt idx="3">
                  <c:v>-100</c:v>
                </c:pt>
                <c:pt idx="4">
                  <c:v>-79.166666666666742</c:v>
                </c:pt>
                <c:pt idx="5">
                  <c:v>-100</c:v>
                </c:pt>
                <c:pt idx="6">
                  <c:v>-104.16666666666674</c:v>
                </c:pt>
                <c:pt idx="7">
                  <c:v>-150</c:v>
                </c:pt>
                <c:pt idx="8">
                  <c:v>-100</c:v>
                </c:pt>
                <c:pt idx="9">
                  <c:v>-50</c:v>
                </c:pt>
              </c:numCache>
            </c:numRef>
          </c:val>
          <c:extLst>
            <c:ext xmlns:c16="http://schemas.microsoft.com/office/drawing/2014/chart" uri="{C3380CC4-5D6E-409C-BE32-E72D297353CC}">
              <c16:uniqueId val="{00000002-8244-46DA-91A9-624881D9341D}"/>
            </c:ext>
          </c:extLst>
        </c:ser>
        <c:dLbls>
          <c:showLegendKey val="0"/>
          <c:showVal val="0"/>
          <c:showCatName val="0"/>
          <c:showSerName val="0"/>
          <c:showPercent val="0"/>
          <c:showBubbleSize val="0"/>
        </c:dLbls>
        <c:gapWidth val="219"/>
        <c:overlap val="-27"/>
        <c:axId val="1597641855"/>
        <c:axId val="1959582639"/>
        <c:extLst>
          <c:ext xmlns:c15="http://schemas.microsoft.com/office/drawing/2012/chart" uri="{02D57815-91ED-43cb-92C2-25804820EDAC}">
            <c15:filteredBarSeries>
              <c15:ser>
                <c:idx val="0"/>
                <c:order val="0"/>
                <c:spPr>
                  <a:solidFill>
                    <a:schemeClr val="accent1"/>
                  </a:solidFill>
                  <a:ln>
                    <a:noFill/>
                  </a:ln>
                  <a:effectLst/>
                </c:spPr>
                <c:invertIfNegative val="0"/>
                <c:val>
                  <c:numRef>
                    <c:extLst>
                      <c:ext uri="{02D57815-91ED-43cb-92C2-25804820EDAC}">
                        <c15:fullRef>
                          <c15:sqref>'Simulation de données'!$O$1</c15:sqref>
                        </c15:fullRef>
                        <c15:formulaRef>
                          <c15:sqref>'Simulation de données'!$O$1</c15:sqref>
                        </c15:formulaRef>
                      </c:ext>
                    </c:extLst>
                    <c:numCache>
                      <c:formatCode>General</c:formatCode>
                      <c:ptCount val="1"/>
                      <c:pt idx="0">
                        <c:v>0</c:v>
                      </c:pt>
                    </c:numCache>
                  </c:numRef>
                </c:val>
                <c:extLst>
                  <c:ext xmlns:c16="http://schemas.microsoft.com/office/drawing/2014/chart" uri="{C3380CC4-5D6E-409C-BE32-E72D297353CC}">
                    <c16:uniqueId val="{00000003-8244-46DA-91A9-624881D9341D}"/>
                  </c:ext>
                </c:extLst>
              </c15:ser>
            </c15:filteredBarSeries>
          </c:ext>
        </c:extLst>
      </c:barChart>
      <c:catAx>
        <c:axId val="159764185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959582639"/>
        <c:crosses val="autoZero"/>
        <c:auto val="1"/>
        <c:lblAlgn val="ctr"/>
        <c:lblOffset val="100"/>
        <c:noMultiLvlLbl val="0"/>
      </c:catAx>
      <c:valAx>
        <c:axId val="195958263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1597641855"/>
        <c:crosses val="autoZero"/>
        <c:crossBetween val="between"/>
      </c:valAx>
      <c:spPr>
        <a:noFill/>
        <a:ln>
          <a:noFill/>
        </a:ln>
        <a:effectLst/>
      </c:spPr>
    </c:plotArea>
    <c:legend>
      <c:legendPos val="b"/>
      <c:layout>
        <c:manualLayout>
          <c:xMode val="edge"/>
          <c:yMode val="edge"/>
          <c:x val="0.33868659736498458"/>
          <c:y val="0.89409667541557303"/>
          <c:w val="0.5545642462795598"/>
          <c:h val="7.8125546806649168E-2"/>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fr-FR"/>
              <a:t>evolution</a:t>
            </a:r>
            <a:r>
              <a:rPr lang="fr-FR" baseline="0"/>
              <a:t> de moyenne de l'ecart des prix</a:t>
            </a:r>
            <a:endParaRPr lang="fr-F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fr-FR"/>
        </a:p>
      </c:txPr>
    </c:title>
    <c:autoTitleDeleted val="0"/>
    <c:plotArea>
      <c:layout/>
      <c:barChart>
        <c:barDir val="col"/>
        <c:grouping val="clustered"/>
        <c:varyColors val="0"/>
        <c:ser>
          <c:idx val="0"/>
          <c:order val="0"/>
          <c:tx>
            <c:strRef>
              <c:f>'Simulation de données'!$R$1</c:f>
              <c:strCache>
                <c:ptCount val="1"/>
                <c:pt idx="0">
                  <c:v>Moyenne ecart concurrent </c:v>
                </c:pt>
              </c:strCache>
            </c:strRef>
          </c:tx>
          <c:spPr>
            <a:solidFill>
              <a:schemeClr val="accent1"/>
            </a:solidFill>
            <a:ln>
              <a:noFill/>
            </a:ln>
            <a:effectLst/>
          </c:spPr>
          <c:invertIfNegative val="0"/>
          <c:cat>
            <c:strLit>
              <c:ptCount val="9"/>
              <c:pt idx="0">
                <c:v>1</c:v>
              </c:pt>
              <c:pt idx="1">
                <c:v>2</c:v>
              </c:pt>
              <c:pt idx="2">
                <c:v>3</c:v>
              </c:pt>
              <c:pt idx="3">
                <c:v>4</c:v>
              </c:pt>
              <c:pt idx="4">
                <c:v>5</c:v>
              </c:pt>
              <c:pt idx="5">
                <c:v>6</c:v>
              </c:pt>
              <c:pt idx="6">
                <c:v>7</c:v>
              </c:pt>
              <c:pt idx="7">
                <c:v>8</c:v>
              </c:pt>
              <c:pt idx="8">
                <c:v>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'Simulation de données'!$R$2:$R$11</c15:sqref>
                  </c15:fullRef>
                </c:ext>
              </c:extLst>
              <c:f>'Simulation de données'!$R$2:$R$10</c:f>
              <c:numCache>
                <c:formatCode>General</c:formatCode>
                <c:ptCount val="9"/>
                <c:pt idx="0">
                  <c:v>68.518518518518505</c:v>
                </c:pt>
                <c:pt idx="1">
                  <c:v>90.625</c:v>
                </c:pt>
                <c:pt idx="2">
                  <c:v>103.57142857142857</c:v>
                </c:pt>
                <c:pt idx="3">
                  <c:v>111.11111111111109</c:v>
                </c:pt>
                <c:pt idx="4">
                  <c:v>116.6666666666666</c:v>
                </c:pt>
                <c:pt idx="5">
                  <c:v>145.83333333333326</c:v>
                </c:pt>
                <c:pt idx="6">
                  <c:v>130.55555555555551</c:v>
                </c:pt>
                <c:pt idx="7">
                  <c:v>150</c:v>
                </c:pt>
                <c:pt idx="8">
                  <c:v>150</c:v>
                </c:pt>
              </c:numCache>
            </c:numRef>
          </c:val>
          <c:extLst>
            <c:ext xmlns:c16="http://schemas.microsoft.com/office/drawing/2014/chart" uri="{C3380CC4-5D6E-409C-BE32-E72D297353CC}">
              <c16:uniqueId val="{00000000-1944-4C4C-8C60-F537A19BC1C6}"/>
            </c:ext>
          </c:extLst>
        </c:ser>
        <c:ser>
          <c:idx val="1"/>
          <c:order val="1"/>
          <c:tx>
            <c:strRef>
              <c:f>'Simulation de données'!$S$1</c:f>
              <c:strCache>
                <c:ptCount val="1"/>
                <c:pt idx="0">
                  <c:v>Moyenne concurrent 2</c:v>
                </c:pt>
              </c:strCache>
            </c:strRef>
          </c:tx>
          <c:spPr>
            <a:solidFill>
              <a:schemeClr val="accent2"/>
            </a:solidFill>
            <a:ln>
              <a:noFill/>
            </a:ln>
            <a:effectLst/>
          </c:spPr>
          <c:invertIfNegative val="0"/>
          <c:cat>
            <c:strLit>
              <c:ptCount val="9"/>
              <c:pt idx="0">
                <c:v>1</c:v>
              </c:pt>
              <c:pt idx="1">
                <c:v>2</c:v>
              </c:pt>
              <c:pt idx="2">
                <c:v>3</c:v>
              </c:pt>
              <c:pt idx="3">
                <c:v>4</c:v>
              </c:pt>
              <c:pt idx="4">
                <c:v>5</c:v>
              </c:pt>
              <c:pt idx="5">
                <c:v>6</c:v>
              </c:pt>
              <c:pt idx="6">
                <c:v>7</c:v>
              </c:pt>
              <c:pt idx="7">
                <c:v>8</c:v>
              </c:pt>
              <c:pt idx="8">
                <c:v>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'Simulation de données'!$S$2:$S$11</c15:sqref>
                  </c15:fullRef>
                </c:ext>
              </c:extLst>
              <c:f>'Simulation de données'!$S$2:$S$10</c:f>
              <c:numCache>
                <c:formatCode>General</c:formatCode>
                <c:ptCount val="9"/>
                <c:pt idx="0">
                  <c:v>-103.70370370370372</c:v>
                </c:pt>
                <c:pt idx="1">
                  <c:v>-121.875</c:v>
                </c:pt>
                <c:pt idx="2">
                  <c:v>-110.71428571428571</c:v>
                </c:pt>
                <c:pt idx="3">
                  <c:v>-105.55555555555559</c:v>
                </c:pt>
                <c:pt idx="4">
                  <c:v>-123.3333333333334</c:v>
                </c:pt>
                <c:pt idx="5">
                  <c:v>-129.16666666666674</c:v>
                </c:pt>
                <c:pt idx="6">
                  <c:v>-152.77777777777783</c:v>
                </c:pt>
                <c:pt idx="7">
                  <c:v>-100</c:v>
                </c:pt>
                <c:pt idx="8">
                  <c:v>-50</c:v>
                </c:pt>
              </c:numCache>
            </c:numRef>
          </c:val>
          <c:extLst>
            <c:ext xmlns:c16="http://schemas.microsoft.com/office/drawing/2014/chart" uri="{C3380CC4-5D6E-409C-BE32-E72D297353CC}">
              <c16:uniqueId val="{00000001-1944-4C4C-8C60-F537A19BC1C6}"/>
            </c:ext>
          </c:extLst>
        </c:ser>
        <c:ser>
          <c:idx val="2"/>
          <c:order val="2"/>
          <c:tx>
            <c:strRef>
              <c:f>'Simulation de données'!$T$1</c:f>
              <c:strCache>
                <c:ptCount val="1"/>
                <c:pt idx="0">
                  <c:v>Moyenne ecart ECS</c:v>
                </c:pt>
              </c:strCache>
            </c:strRef>
          </c:tx>
          <c:spPr>
            <a:solidFill>
              <a:schemeClr val="accent3"/>
            </a:solidFill>
            <a:ln>
              <a:noFill/>
            </a:ln>
            <a:effectLst/>
          </c:spPr>
          <c:invertIfNegative val="0"/>
          <c:cat>
            <c:strLit>
              <c:ptCount val="9"/>
              <c:pt idx="0">
                <c:v>1</c:v>
              </c:pt>
              <c:pt idx="1">
                <c:v>2</c:v>
              </c:pt>
              <c:pt idx="2">
                <c:v>3</c:v>
              </c:pt>
              <c:pt idx="3">
                <c:v>4</c:v>
              </c:pt>
              <c:pt idx="4">
                <c:v>5</c:v>
              </c:pt>
              <c:pt idx="5">
                <c:v>6</c:v>
              </c:pt>
              <c:pt idx="6">
                <c:v>7</c:v>
              </c:pt>
              <c:pt idx="7">
                <c:v>8</c:v>
              </c:pt>
              <c:pt idx="8">
                <c:v>9</c:v>
              </c:pt>
              <c:extLst>
                <c:ext xmlns:c15="http://schemas.microsoft.com/office/drawing/2012/chart" uri="{02D57815-91ED-43cb-92C2-25804820EDAC}">
                  <c15:autoCat val="1"/>
                </c:ext>
              </c:extLst>
            </c:strLit>
          </c:cat>
          <c:val>
            <c:numRef>
              <c:extLst>
                <c:ext xmlns:c15="http://schemas.microsoft.com/office/drawing/2012/chart" uri="{02D57815-91ED-43cb-92C2-25804820EDAC}">
                  <c15:fullRef>
                    <c15:sqref>'Simulation de données'!$T$2:$T$11</c15:sqref>
                  </c15:fullRef>
                </c:ext>
              </c:extLst>
              <c:f>'Simulation de données'!$T$2:$T$10</c:f>
              <c:numCache>
                <c:formatCode>General</c:formatCode>
                <c:ptCount val="9"/>
                <c:pt idx="0">
                  <c:v>62.962962962962948</c:v>
                </c:pt>
                <c:pt idx="1">
                  <c:v>78.125</c:v>
                </c:pt>
                <c:pt idx="2">
                  <c:v>82.142857142857139</c:v>
                </c:pt>
                <c:pt idx="3">
                  <c:v>86.111111111111086</c:v>
                </c:pt>
                <c:pt idx="4">
                  <c:v>76.6666666666666</c:v>
                </c:pt>
                <c:pt idx="5">
                  <c:v>70.833333333333258</c:v>
                </c:pt>
                <c:pt idx="6">
                  <c:v>30.555555555555504</c:v>
                </c:pt>
                <c:pt idx="7">
                  <c:v>25</c:v>
                </c:pt>
                <c:pt idx="8">
                  <c:v>50</c:v>
                </c:pt>
              </c:numCache>
            </c:numRef>
          </c:val>
          <c:extLst>
            <c:ext xmlns:c16="http://schemas.microsoft.com/office/drawing/2014/chart" uri="{C3380CC4-5D6E-409C-BE32-E72D297353CC}">
              <c16:uniqueId val="{00000002-1944-4C4C-8C60-F537A19BC1C6}"/>
            </c:ext>
          </c:extLst>
        </c:ser>
        <c:dLbls>
          <c:showLegendKey val="0"/>
          <c:showVal val="0"/>
          <c:showCatName val="0"/>
          <c:showSerName val="0"/>
          <c:showPercent val="0"/>
          <c:showBubbleSize val="0"/>
        </c:dLbls>
        <c:gapWidth val="219"/>
        <c:overlap val="-27"/>
        <c:axId val="2046914095"/>
        <c:axId val="2067718799"/>
      </c:barChart>
      <c:catAx>
        <c:axId val="2046914095"/>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67718799"/>
        <c:crosses val="autoZero"/>
        <c:auto val="1"/>
        <c:lblAlgn val="ctr"/>
        <c:lblOffset val="100"/>
        <c:noMultiLvlLbl val="0"/>
      </c:catAx>
      <c:valAx>
        <c:axId val="2067718799"/>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crossAx val="2046914095"/>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fr-FR"/>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r>
              <a:rPr lang="fr-FR"/>
              <a:t>apercut</a:t>
            </a:r>
            <a:r>
              <a:rPr lang="fr-FR" baseline="0"/>
              <a:t> de l'evolution de l'ecart type</a:t>
            </a:r>
          </a:p>
        </c:rich>
      </c:tx>
      <c:overlay val="0"/>
      <c:spPr>
        <a:noFill/>
        <a:ln>
          <a:noFill/>
        </a:ln>
        <a:effectLst/>
      </c:spPr>
      <c:txPr>
        <a:bodyPr rot="0" spcFirstLastPara="1" vertOverflow="ellipsis" vert="horz" wrap="square" anchor="ctr" anchorCtr="1"/>
        <a:lstStyle/>
        <a:p>
          <a:pPr>
            <a:defRPr sz="1400" b="0" i="0" u="none" strike="noStrike" baseline="0">
              <a:solidFill>
                <a:schemeClr val="tx1">
                  <a:lumMod val="65000"/>
                  <a:lumOff val="35000"/>
                </a:schemeClr>
              </a:solidFill>
              <a:latin typeface="+mn-lt"/>
              <a:ea typeface="+mn-ea"/>
              <a:cs typeface="+mn-cs"/>
            </a:defRPr>
          </a:pPr>
          <a:endParaRPr lang="fr-FR"/>
        </a:p>
      </c:txPr>
    </c:title>
    <c:autoTitleDeleted val="0"/>
    <c:plotArea>
      <c:layout/>
      <c:radarChart>
        <c:radarStyle val="marker"/>
        <c:varyColors val="0"/>
        <c:ser>
          <c:idx val="0"/>
          <c:order val="0"/>
          <c:tx>
            <c:v>Ecart type concurrent 1</c:v>
          </c:tx>
          <c:spPr>
            <a:ln w="28575" cap="rnd">
              <a:solidFill>
                <a:schemeClr val="accent1"/>
              </a:solidFill>
              <a:round/>
            </a:ln>
            <a:effectLst/>
          </c:spPr>
          <c:marker>
            <c:symbol val="none"/>
          </c:marker>
          <c:cat>
            <c:strRef>
              <c:f>'Simulation de données'!$L$1:$N$1</c:f>
              <c:strCache>
                <c:ptCount val="3"/>
                <c:pt idx="0">
                  <c:v>Écart-type Écart Prix Concurrent 1</c:v>
                </c:pt>
                <c:pt idx="1">
                  <c:v>Écart-type Écart Prix Concurrent 2</c:v>
                </c:pt>
                <c:pt idx="2">
                  <c:v>Écart-type Écart Prix ECS</c:v>
                </c:pt>
              </c:strCache>
            </c:strRef>
          </c:cat>
          <c:val>
            <c:numRef>
              <c:f>'Simulation de données'!$L$2:$L$10</c:f>
              <c:numCache>
                <c:formatCode>General</c:formatCode>
                <c:ptCount val="9"/>
                <c:pt idx="0">
                  <c:v>93.520810386291259</c:v>
                </c:pt>
                <c:pt idx="1">
                  <c:v>70.491120120714569</c:v>
                </c:pt>
                <c:pt idx="2">
                  <c:v>65.060004863235491</c:v>
                </c:pt>
                <c:pt idx="3">
                  <c:v>67.836950490509551</c:v>
                </c:pt>
                <c:pt idx="4">
                  <c:v>74.302310417195855</c:v>
                </c:pt>
                <c:pt idx="5">
                  <c:v>41.107357185968759</c:v>
                </c:pt>
                <c:pt idx="6">
                  <c:v>33.678765702728278</c:v>
                </c:pt>
                <c:pt idx="7">
                  <c:v>0</c:v>
                </c:pt>
                <c:pt idx="8">
                  <c:v>0</c:v>
                </c:pt>
              </c:numCache>
            </c:numRef>
          </c:val>
          <c:extLst>
            <c:ext xmlns:c16="http://schemas.microsoft.com/office/drawing/2014/chart" uri="{C3380CC4-5D6E-409C-BE32-E72D297353CC}">
              <c16:uniqueId val="{00000000-BC7D-428E-9A72-78C10936DD8F}"/>
            </c:ext>
          </c:extLst>
        </c:ser>
        <c:ser>
          <c:idx val="1"/>
          <c:order val="1"/>
          <c:tx>
            <c:v>Ecart type concurrent 2</c:v>
          </c:tx>
          <c:spPr>
            <a:ln w="28575" cap="rnd">
              <a:solidFill>
                <a:schemeClr val="accent2"/>
              </a:solidFill>
              <a:round/>
            </a:ln>
            <a:effectLst/>
          </c:spPr>
          <c:marker>
            <c:symbol val="none"/>
          </c:marker>
          <c:cat>
            <c:strRef>
              <c:f>'Simulation de données'!$L$1:$N$1</c:f>
              <c:strCache>
                <c:ptCount val="3"/>
                <c:pt idx="0">
                  <c:v>Écart-type Écart Prix Concurrent 1</c:v>
                </c:pt>
                <c:pt idx="1">
                  <c:v>Écart-type Écart Prix Concurrent 2</c:v>
                </c:pt>
                <c:pt idx="2">
                  <c:v>Écart-type Écart Prix ECS</c:v>
                </c:pt>
              </c:strCache>
            </c:strRef>
          </c:cat>
          <c:val>
            <c:numRef>
              <c:f>'Simulation de données'!$M$2:$M$10</c:f>
              <c:numCache>
                <c:formatCode>General</c:formatCode>
                <c:ptCount val="9"/>
                <c:pt idx="0">
                  <c:v>93.829698633636312</c:v>
                </c:pt>
                <c:pt idx="1">
                  <c:v>81.642063835388143</c:v>
                </c:pt>
                <c:pt idx="2">
                  <c:v>81.325006079044471</c:v>
                </c:pt>
                <c:pt idx="3">
                  <c:v>87.823476149392832</c:v>
                </c:pt>
                <c:pt idx="4">
                  <c:v>85.269181615243241</c:v>
                </c:pt>
                <c:pt idx="5">
                  <c:v>97.30155493409444</c:v>
                </c:pt>
                <c:pt idx="6">
                  <c:v>104.19444074172814</c:v>
                </c:pt>
                <c:pt idx="7">
                  <c:v>70.710678118654755</c:v>
                </c:pt>
                <c:pt idx="8">
                  <c:v>0</c:v>
                </c:pt>
              </c:numCache>
            </c:numRef>
          </c:val>
          <c:extLst>
            <c:ext xmlns:c16="http://schemas.microsoft.com/office/drawing/2014/chart" uri="{C3380CC4-5D6E-409C-BE32-E72D297353CC}">
              <c16:uniqueId val="{00000001-BC7D-428E-9A72-78C10936DD8F}"/>
            </c:ext>
          </c:extLst>
        </c:ser>
        <c:ser>
          <c:idx val="2"/>
          <c:order val="2"/>
          <c:tx>
            <c:v>Ecart type ECS</c:v>
          </c:tx>
          <c:spPr>
            <a:ln w="28575" cap="rnd">
              <a:solidFill>
                <a:schemeClr val="accent3"/>
              </a:solidFill>
              <a:round/>
            </a:ln>
            <a:effectLst/>
          </c:spPr>
          <c:marker>
            <c:symbol val="none"/>
          </c:marker>
          <c:cat>
            <c:strRef>
              <c:f>'Simulation de données'!$L$1:$N$1</c:f>
              <c:strCache>
                <c:ptCount val="3"/>
                <c:pt idx="0">
                  <c:v>Écart-type Écart Prix Concurrent 1</c:v>
                </c:pt>
                <c:pt idx="1">
                  <c:v>Écart-type Écart Prix Concurrent 2</c:v>
                </c:pt>
                <c:pt idx="2">
                  <c:v>Écart-type Écart Prix ECS</c:v>
                </c:pt>
              </c:strCache>
            </c:strRef>
          </c:cat>
          <c:val>
            <c:numRef>
              <c:f>'Simulation de données'!$N$2:$N$10</c:f>
              <c:numCache>
                <c:formatCode>General</c:formatCode>
                <c:ptCount val="9"/>
                <c:pt idx="0">
                  <c:v>72.780958369855028</c:v>
                </c:pt>
                <c:pt idx="1">
                  <c:v>60.73908223797185</c:v>
                </c:pt>
                <c:pt idx="2">
                  <c:v>64.447181113211997</c:v>
                </c:pt>
                <c:pt idx="3">
                  <c:v>69.655235638477691</c:v>
                </c:pt>
                <c:pt idx="4">
                  <c:v>73.456336236796659</c:v>
                </c:pt>
                <c:pt idx="5">
                  <c:v>83.472106673981699</c:v>
                </c:pt>
                <c:pt idx="6">
                  <c:v>26.787918780535957</c:v>
                </c:pt>
                <c:pt idx="7">
                  <c:v>35.355339059327378</c:v>
                </c:pt>
                <c:pt idx="8">
                  <c:v>0</c:v>
                </c:pt>
              </c:numCache>
            </c:numRef>
          </c:val>
          <c:extLst>
            <c:ext xmlns:c16="http://schemas.microsoft.com/office/drawing/2014/chart" uri="{C3380CC4-5D6E-409C-BE32-E72D297353CC}">
              <c16:uniqueId val="{00000002-BC7D-428E-9A72-78C10936DD8F}"/>
            </c:ext>
          </c:extLst>
        </c:ser>
        <c:dLbls>
          <c:showLegendKey val="0"/>
          <c:showVal val="0"/>
          <c:showCatName val="0"/>
          <c:showSerName val="0"/>
          <c:showPercent val="0"/>
          <c:showBubbleSize val="0"/>
        </c:dLbls>
        <c:axId val="304226415"/>
        <c:axId val="2052873584"/>
      </c:radarChart>
      <c:catAx>
        <c:axId val="304226415"/>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fr-FR"/>
          </a:p>
        </c:txPr>
        <c:crossAx val="2052873584"/>
        <c:crosses val="autoZero"/>
        <c:auto val="1"/>
        <c:lblAlgn val="ctr"/>
        <c:lblOffset val="100"/>
        <c:noMultiLvlLbl val="0"/>
      </c:catAx>
      <c:valAx>
        <c:axId val="205287358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fr-FR"/>
          </a:p>
        </c:txPr>
        <c:crossAx val="304226415"/>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baseline="0">
              <a:solidFill>
                <a:schemeClr val="tx1">
                  <a:lumMod val="65000"/>
                  <a:lumOff val="35000"/>
                </a:schemeClr>
              </a:solidFill>
              <a:latin typeface="+mn-lt"/>
              <a:ea typeface="+mn-ea"/>
              <a:cs typeface="+mn-cs"/>
            </a:defRPr>
          </a:pPr>
          <a:endParaRPr lang="fr-FR"/>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fr-FR"/>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366">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9</xdr:col>
      <xdr:colOff>106680</xdr:colOff>
      <xdr:row>21</xdr:row>
      <xdr:rowOff>53340</xdr:rowOff>
    </xdr:to>
    <xdr:graphicFrame macro="">
      <xdr:nvGraphicFramePr>
        <xdr:cNvPr id="2" name="Graphique 1">
          <a:extLst>
            <a:ext uri="{FF2B5EF4-FFF2-40B4-BE49-F238E27FC236}">
              <a16:creationId xmlns:a16="http://schemas.microsoft.com/office/drawing/2014/main" id="{A155A37F-7467-4382-860E-91BB7C31149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1</xdr:row>
      <xdr:rowOff>7620</xdr:rowOff>
    </xdr:from>
    <xdr:to>
      <xdr:col>17</xdr:col>
      <xdr:colOff>541020</xdr:colOff>
      <xdr:row>21</xdr:row>
      <xdr:rowOff>0</xdr:rowOff>
    </xdr:to>
    <xdr:graphicFrame macro="">
      <xdr:nvGraphicFramePr>
        <xdr:cNvPr id="3" name="Graphique 2">
          <a:extLst>
            <a:ext uri="{FF2B5EF4-FFF2-40B4-BE49-F238E27FC236}">
              <a16:creationId xmlns:a16="http://schemas.microsoft.com/office/drawing/2014/main" id="{5CA8AD14-8B01-4F3B-984B-BFD92068D5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0</xdr:col>
      <xdr:colOff>15240</xdr:colOff>
      <xdr:row>25</xdr:row>
      <xdr:rowOff>0</xdr:rowOff>
    </xdr:from>
    <xdr:to>
      <xdr:col>8</xdr:col>
      <xdr:colOff>281940</xdr:colOff>
      <xdr:row>40</xdr:row>
      <xdr:rowOff>0</xdr:rowOff>
    </xdr:to>
    <xdr:graphicFrame macro="">
      <xdr:nvGraphicFramePr>
        <xdr:cNvPr id="4" name="Graphique 3">
          <a:extLst>
            <a:ext uri="{FF2B5EF4-FFF2-40B4-BE49-F238E27FC236}">
              <a16:creationId xmlns:a16="http://schemas.microsoft.com/office/drawing/2014/main" id="{74185CFE-8FBA-4E77-8CC8-A1CDAC7789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0</xdr:colOff>
      <xdr:row>25</xdr:row>
      <xdr:rowOff>0</xdr:rowOff>
    </xdr:from>
    <xdr:to>
      <xdr:col>17</xdr:col>
      <xdr:colOff>640080</xdr:colOff>
      <xdr:row>40</xdr:row>
      <xdr:rowOff>0</xdr:rowOff>
    </xdr:to>
    <xdr:graphicFrame macro="">
      <xdr:nvGraphicFramePr>
        <xdr:cNvPr id="6" name="Graphique 5">
          <a:extLst>
            <a:ext uri="{FF2B5EF4-FFF2-40B4-BE49-F238E27FC236}">
              <a16:creationId xmlns:a16="http://schemas.microsoft.com/office/drawing/2014/main" id="{50C42A74-6399-471D-AB58-A1F061E5F5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0</xdr:colOff>
      <xdr:row>25</xdr:row>
      <xdr:rowOff>0</xdr:rowOff>
    </xdr:from>
    <xdr:to>
      <xdr:col>26</xdr:col>
      <xdr:colOff>693420</xdr:colOff>
      <xdr:row>40</xdr:row>
      <xdr:rowOff>0</xdr:rowOff>
    </xdr:to>
    <xdr:graphicFrame macro="">
      <xdr:nvGraphicFramePr>
        <xdr:cNvPr id="7" name="Graphique 6">
          <a:extLst>
            <a:ext uri="{FF2B5EF4-FFF2-40B4-BE49-F238E27FC236}">
              <a16:creationId xmlns:a16="http://schemas.microsoft.com/office/drawing/2014/main" id="{DAE71AE2-DCFA-496F-8935-24EDC750BC6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19</xdr:col>
      <xdr:colOff>0</xdr:colOff>
      <xdr:row>1</xdr:row>
      <xdr:rowOff>0</xdr:rowOff>
    </xdr:from>
    <xdr:to>
      <xdr:col>25</xdr:col>
      <xdr:colOff>335280</xdr:colOff>
      <xdr:row>17</xdr:row>
      <xdr:rowOff>144780</xdr:rowOff>
    </xdr:to>
    <xdr:graphicFrame macro="">
      <xdr:nvGraphicFramePr>
        <xdr:cNvPr id="8" name="Graphique 7">
          <a:extLst>
            <a:ext uri="{FF2B5EF4-FFF2-40B4-BE49-F238E27FC236}">
              <a16:creationId xmlns:a16="http://schemas.microsoft.com/office/drawing/2014/main" id="{E3A2A09F-2065-4FDF-8F4A-C21BFCFB42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5E2FE7C-9950-4D1A-9292-72A7178AD006}" name="Tableau1" displayName="Tableau1" ref="AB1:AD2" totalsRowShown="0">
  <autoFilter ref="AB1:AD2" xr:uid="{65E2FE7C-9950-4D1A-9292-72A7178AD006}"/>
  <tableColumns count="3">
    <tableColumn id="1" xr3:uid="{BA2020B0-6819-45C9-8064-4E9B8B55C559}" name="ESTIMATIONS"/>
    <tableColumn id="2" xr3:uid="{5D39DB9C-57FA-4094-A9D9-0B66A0738969}" name="SOMME DES OFFRES">
      <calculatedColumnFormula>SUM(AG2:AG4)</calculatedColumnFormula>
    </tableColumn>
    <tableColumn id="3" xr3:uid="{0E0A2DD0-069A-4641-930E-F7C818CC9D73}" name="NOMBRE DES OFFRES">
      <calculatedColumnFormula>COUNTA(Tableau3[OF])</calculatedColumnFormula>
    </tableColumn>
  </tableColumns>
  <tableStyleInfo name="TableStyleLight1"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BE4891B7-550A-4900-8216-FC4F5B69BE66}" name="Tableau3" displayName="Tableau3" ref="AG1:AH22" totalsRowShown="0">
  <autoFilter ref="AG1:AH22" xr:uid="{BE4891B7-550A-4900-8216-FC4F5B69BE66}"/>
  <tableColumns count="2">
    <tableColumn id="1" xr3:uid="{CB97CEF7-B075-4550-9183-66E627704ECF}" name="OF"/>
    <tableColumn id="2" xr3:uid="{8DC14F83-AD98-413D-8D99-276CE988C690}" name="Intitulé"/>
  </tableColumns>
  <tableStyleInfo name="TableStyleLight1"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C51CE035-87FA-42EE-9C90-CE5D00B6BEA8}" name="Tableau2" displayName="Tableau2" ref="AJ1:AL22" totalsRowShown="0">
  <autoFilter ref="AJ1:AL22" xr:uid="{C51CE035-87FA-42EE-9C90-CE5D00B6BEA8}"/>
  <tableColumns count="3">
    <tableColumn id="1" xr3:uid="{86317C1E-566A-41E7-B691-5A44A5C9884C}" name="Prix de référence"/>
    <tableColumn id="2" xr3:uid="{C53AF4C9-2F6D-483A-95B5-269E1B64E394}" name="Moy Concurrents"/>
    <tableColumn id="3" xr3:uid="{5F0C06CD-321E-4B25-9586-E09BA43D1F2F}" name="Prix de réf Moy"/>
  </tableColumns>
  <tableStyleInfo name="TableStyleLight1"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AD728CDD-D373-47D6-A402-D069810B1CCD}" name="TabPrincipale" displayName="TabPrincipale" ref="A1:X11" totalsRowShown="0">
  <autoFilter ref="A1:X11" xr:uid="{AD728CDD-D373-47D6-A402-D069810B1CCD}"/>
  <tableColumns count="24">
    <tableColumn id="1" xr3:uid="{B1464E09-EBCF-420C-AC07-DD0D88A1B6B4}" name="Prix du Marché " dataDxfId="16">
      <calculatedColumnFormula>(TabPrincipale[[#This Row],[Estimation ]]+(TabPrincipale[[#This Row],[Somme des offres ]]/TabPrincipale[[#This Row],[Nombres des offres ]]))/2</calculatedColumnFormula>
    </tableColumn>
    <tableColumn id="31" xr3:uid="{5B3A1EA1-6568-4A1C-B694-D3AE48E8BC5B}" name="Colonne de calcul"/>
    <tableColumn id="17" xr3:uid="{EC2F798A-2A8D-47E8-A3A1-E8A822CE4CA5}" name="Estimation "/>
    <tableColumn id="18" xr3:uid="{F9C0F38B-EACD-4F61-8B8F-B620E2AD5577}" name="Somme des offres " dataDxfId="15">
      <calculatedColumnFormula>SUM(TabPrincipale[[#This Row],[Evolution Prix du concurrent 1]]:TabPrincipale[[#This Row],[Evolution Prix du concurrent 2]],TabPrincipale[[#This Row],[Prix ECS]])</calculatedColumnFormula>
    </tableColumn>
    <tableColumn id="19" xr3:uid="{30147F25-C6D7-4E23-A142-0E317DEDC072}" name="Nombres des offres "/>
    <tableColumn id="2" xr3:uid="{4DBBEA92-3BD8-496B-BC84-ED8084AF0DF2}" name="Evolution Prix du concurrent 1"/>
    <tableColumn id="24" xr3:uid="{149617A8-172C-4CE1-9DA1-F96F40BBE724}" name="Evolution ecart Cocurrent 1" dataDxfId="14">
      <calculatedColumnFormula>TabPrincipale[[#This Row],[Evolution Prix du concurrent 1]]-TabPrincipale[[#This Row],[Colonne de calcul]]</calculatedColumnFormula>
    </tableColumn>
    <tableColumn id="4" xr3:uid="{3BE06C1B-EB86-48AD-BCC5-360BD1FB7F51}" name="Evolution Prix du concurrent 2"/>
    <tableColumn id="29" xr3:uid="{4F0AFBF7-A11A-43C8-9546-08E5A16C6B98}" name="Evolution ecart Cocurrent 2" dataDxfId="13">
      <calculatedColumnFormula>TabPrincipale[[#This Row],[Evolution Prix du concurrent 2]]-TabPrincipale[[#This Row],[Colonne de calcul]]</calculatedColumnFormula>
    </tableColumn>
    <tableColumn id="6" xr3:uid="{2EB96EB2-3F0C-4A95-B0C6-CEC26BD9967C}" name="Prix ECS"/>
    <tableColumn id="10" xr3:uid="{A2A1CC38-C08B-472C-AF83-94D509F1C47C}" name="Evolution ecart Ecs" dataDxfId="12">
      <calculatedColumnFormula>TabPrincipale[[#This Row],[Prix ECS]]-TabPrincipale[[#This Row],[Colonne de calcul]]</calculatedColumnFormula>
    </tableColumn>
    <tableColumn id="11" xr3:uid="{5A1ACBEE-5481-4379-BBBB-D750C8D97B53}" name="Écart-type Écart Prix Concurrent 1" dataDxfId="11">
      <calculatedColumnFormula>STDEV(G2:G10)</calculatedColumnFormula>
    </tableColumn>
    <tableColumn id="14" xr3:uid="{5F706040-DC3C-4235-9D3C-CA1C32CF2831}" name="Écart-type Écart Prix Concurrent 2" dataDxfId="10">
      <calculatedColumnFormula>STDEV(I2:I10)</calculatedColumnFormula>
    </tableColumn>
    <tableColumn id="13" xr3:uid="{104FAB1B-BC50-4E3C-8BCF-9D919B16BF0D}" name="Écart-type Écart Prix ECS" dataDxfId="9">
      <calculatedColumnFormula>STDEV(K2:K10)</calculatedColumnFormula>
    </tableColumn>
    <tableColumn id="12" xr3:uid="{71864AF9-2D6C-4A9F-9FFE-C067C7EA140B}" name="Médiane Écart Prix Concurrent 1" dataDxfId="8">
      <calculatedColumnFormula>MEDIAN(G2:G10)</calculatedColumnFormula>
    </tableColumn>
    <tableColumn id="15" xr3:uid="{E947AD36-ED0B-47E3-B300-3D9290E20D78}" name="Médiane Écart Prix ECS" dataDxfId="7">
      <calculatedColumnFormula>MEDIAN(K2:K10)</calculatedColumnFormula>
    </tableColumn>
    <tableColumn id="32" xr3:uid="{924016E7-7ADC-48EF-86EA-431D73355DD4}" name="Médiane Écart Prix Concurrent 2" dataDxfId="6">
      <calculatedColumnFormula>MEDIAN(I2:I10)</calculatedColumnFormula>
    </tableColumn>
    <tableColumn id="33" xr3:uid="{520FDDD0-E1A1-4131-8B8A-E360804721E8}" name="Moyenne ecart concurrent " dataDxfId="5">
      <calculatedColumnFormula>AVERAGE(G2:G10)</calculatedColumnFormula>
    </tableColumn>
    <tableColumn id="35" xr3:uid="{B7A2442E-3229-4B3A-A9CE-BB59630523B6}" name="Moyenne concurrent 2" dataDxfId="4">
      <calculatedColumnFormula>AVERAGE(I2:I10)</calculatedColumnFormula>
    </tableColumn>
    <tableColumn id="34" xr3:uid="{E2C7E2D4-C1E3-40EF-810E-DCC93CA476D6}" name="Moyenne ecart ECS" dataDxfId="3">
      <calculatedColumnFormula>AVERAGE(K2:K10)</calculatedColumnFormula>
    </tableColumn>
    <tableColumn id="36" xr3:uid="{C19FBCDA-1B4C-4724-8A53-0EC24147688B}" name="Quartille cocurrent 1" dataDxfId="2">
      <calculatedColumnFormula>_xlfn.QUARTILE.INC(G2:G10,3)</calculatedColumnFormula>
    </tableColumn>
    <tableColumn id="37" xr3:uid="{EBD42434-0310-42DF-9876-199E1EDC3A0B}" name="Quartille concurrent 2" dataDxfId="1">
      <calculatedColumnFormula>_xlfn.QUARTILE.INC(I2:I10,3)</calculatedColumnFormula>
    </tableColumn>
    <tableColumn id="38" xr3:uid="{B5BC4211-D44F-4D87-99A7-996A758DFAF3}" name="Quartille ECS" dataDxfId="0">
      <calculatedColumnFormula>_xlfn.QUARTILE.INC(K2:K10,3)</calculatedColumnFormula>
    </tableColumn>
    <tableColumn id="7" xr3:uid="{F0EDCB5B-B1B1-4200-9FAF-9329D19D7FCF}" name="colonne "/>
  </tableColumns>
  <tableStyleInfo name="TableStyleLight1" showFirstColumn="0" showLastColumn="0" showRowStripes="1" showColumnStripes="0"/>
</table>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table" Target="../tables/table1.xml"/><Relationship Id="rId1" Type="http://schemas.openxmlformats.org/officeDocument/2006/relationships/printerSettings" Target="../printerSettings/printerSettings1.bin"/><Relationship Id="rId5" Type="http://schemas.openxmlformats.org/officeDocument/2006/relationships/table" Target="../tables/table4.xml"/><Relationship Id="rId4" Type="http://schemas.openxmlformats.org/officeDocument/2006/relationships/table" Target="../tables/table3.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DCF3-50A9-4611-8A56-BEF7193A5608}">
  <dimension ref="A1:AL11"/>
  <sheetViews>
    <sheetView tabSelected="1" workbookViewId="0">
      <selection activeCell="D15" sqref="D15"/>
    </sheetView>
  </sheetViews>
  <sheetFormatPr baseColWidth="10" defaultRowHeight="14.4" x14ac:dyDescent="0.3"/>
  <cols>
    <col min="1" max="5" width="15.44140625" customWidth="1"/>
    <col min="6" max="9" width="27.21875" customWidth="1"/>
    <col min="11" max="11" width="19.109375" bestFit="1" customWidth="1"/>
    <col min="12" max="13" width="31.77734375" bestFit="1" customWidth="1"/>
    <col min="14" max="14" width="23.88671875" bestFit="1" customWidth="1"/>
    <col min="15" max="15" width="30.5546875" bestFit="1" customWidth="1"/>
    <col min="16" max="23" width="30.5546875" customWidth="1"/>
    <col min="24" max="25" width="18.6640625" customWidth="1"/>
    <col min="28" max="28" width="14.21875" customWidth="1"/>
    <col min="29" max="29" width="20.5546875" bestFit="1" customWidth="1"/>
    <col min="30" max="30" width="21.33203125" bestFit="1" customWidth="1"/>
    <col min="36" max="36" width="16.6640625" customWidth="1"/>
    <col min="37" max="37" width="17.77734375" bestFit="1" customWidth="1"/>
    <col min="38" max="38" width="16" bestFit="1" customWidth="1"/>
  </cols>
  <sheetData>
    <row r="1" spans="1:38" x14ac:dyDescent="0.3">
      <c r="A1" t="s">
        <v>11</v>
      </c>
      <c r="B1" t="s">
        <v>27</v>
      </c>
      <c r="C1" t="s">
        <v>22</v>
      </c>
      <c r="D1" t="s">
        <v>23</v>
      </c>
      <c r="E1" t="s">
        <v>24</v>
      </c>
      <c r="F1" t="s">
        <v>12</v>
      </c>
      <c r="G1" t="s">
        <v>25</v>
      </c>
      <c r="H1" t="s">
        <v>13</v>
      </c>
      <c r="I1" t="s">
        <v>26</v>
      </c>
      <c r="J1" t="s">
        <v>14</v>
      </c>
      <c r="K1" t="s">
        <v>16</v>
      </c>
      <c r="L1" t="s">
        <v>19</v>
      </c>
      <c r="M1" t="s">
        <v>20</v>
      </c>
      <c r="N1" t="s">
        <v>21</v>
      </c>
      <c r="O1" t="s">
        <v>15</v>
      </c>
      <c r="P1" t="s">
        <v>18</v>
      </c>
      <c r="Q1" t="s">
        <v>17</v>
      </c>
      <c r="R1" t="s">
        <v>29</v>
      </c>
      <c r="S1" t="s">
        <v>30</v>
      </c>
      <c r="T1" t="s">
        <v>35</v>
      </c>
      <c r="U1" t="s">
        <v>31</v>
      </c>
      <c r="V1" t="s">
        <v>32</v>
      </c>
      <c r="W1" t="s">
        <v>33</v>
      </c>
      <c r="X1" t="s">
        <v>28</v>
      </c>
      <c r="AB1" t="s">
        <v>0</v>
      </c>
      <c r="AC1" t="s">
        <v>9</v>
      </c>
      <c r="AD1" t="s">
        <v>10</v>
      </c>
      <c r="AG1" t="s">
        <v>1</v>
      </c>
      <c r="AH1" t="s">
        <v>2</v>
      </c>
      <c r="AJ1" t="s">
        <v>6</v>
      </c>
      <c r="AK1" t="s">
        <v>7</v>
      </c>
      <c r="AL1" t="s">
        <v>8</v>
      </c>
    </row>
    <row r="2" spans="1:38" x14ac:dyDescent="0.3">
      <c r="A2">
        <f>(TabPrincipale[[#This Row],[Estimation ]]+(TabPrincipale[[#This Row],[Somme des offres ]]/TabPrincipale[[#This Row],[Nombres des offres ]]))/2</f>
        <v>1090.2777777777778</v>
      </c>
      <c r="B2">
        <v>1108.3333333333335</v>
      </c>
      <c r="C2">
        <v>1150</v>
      </c>
      <c r="D2">
        <f>SUM(TabPrincipale[[#This Row],[Evolution Prix du concurrent 1]]:TabPrincipale[[#This Row],[Evolution Prix du concurrent 2]],TabPrincipale[[#This Row],[Prix ECS]])</f>
        <v>3091.6666666666665</v>
      </c>
      <c r="E2">
        <v>3</v>
      </c>
      <c r="F2">
        <v>1000</v>
      </c>
      <c r="G2">
        <f>TabPrincipale[[#This Row],[Evolution Prix du concurrent 1]]-TabPrincipale[[#This Row],[Colonne de calcul]]</f>
        <v>-108.33333333333348</v>
      </c>
      <c r="H2">
        <v>1150</v>
      </c>
      <c r="I2">
        <f>TabPrincipale[[#This Row],[Evolution Prix du concurrent 2]]-TabPrincipale[[#This Row],[Colonne de calcul]]</f>
        <v>41.666666666666515</v>
      </c>
      <c r="J2">
        <v>1050</v>
      </c>
      <c r="K2">
        <f>TabPrincipale[[#This Row],[Prix ECS]]-TabPrincipale[[#This Row],[Colonne de calcul]]</f>
        <v>-58.333333333333485</v>
      </c>
      <c r="L2">
        <f t="shared" ref="L2:L11" si="0">STDEV(G2:G10)</f>
        <v>93.520810386291259</v>
      </c>
      <c r="M2">
        <f t="shared" ref="M2:M11" si="1">STDEV(I2:I10)</f>
        <v>93.829698633636312</v>
      </c>
      <c r="N2">
        <f t="shared" ref="N2:N11" si="2">STDEV(K2:K10)</f>
        <v>72.780958369855028</v>
      </c>
      <c r="O2">
        <f t="shared" ref="O2:O11" si="3">MEDIAN(G2:G10)</f>
        <v>83.333333333333485</v>
      </c>
      <c r="P2">
        <f t="shared" ref="P2:P11" si="4">MEDIAN(K2:K10)</f>
        <v>50</v>
      </c>
      <c r="Q2">
        <f t="shared" ref="Q2:Q11" si="5">MEDIAN(I2:I10)</f>
        <v>-100</v>
      </c>
      <c r="R2">
        <f t="shared" ref="R2:R11" si="6">AVERAGE(G2:G10)</f>
        <v>68.518518518518505</v>
      </c>
      <c r="S2">
        <f t="shared" ref="S2:S11" si="7">AVERAGE(I2:I10)</f>
        <v>-103.70370370370372</v>
      </c>
      <c r="T2">
        <f t="shared" ref="T2:T11" si="8">AVERAGE(K2:K10)</f>
        <v>62.962962962962948</v>
      </c>
      <c r="U2">
        <f t="shared" ref="U2:U11" si="9">_xlfn.QUARTILE.INC(G2:G10,3)</f>
        <v>150</v>
      </c>
      <c r="V2">
        <f t="shared" ref="V2:V11" si="10">_xlfn.QUARTILE.INC(I2:I10,3)</f>
        <v>-50</v>
      </c>
      <c r="W2">
        <f t="shared" ref="W2:W11" si="11">_xlfn.QUARTILE.INC(K2:K10,3)</f>
        <v>100</v>
      </c>
      <c r="AB2">
        <v>1300</v>
      </c>
      <c r="AC2">
        <f>SUM(AG2:AG4)</f>
        <v>4050</v>
      </c>
      <c r="AD2">
        <f>COUNTA(Tableau3[OF])</f>
        <v>3</v>
      </c>
      <c r="AG2">
        <v>1500</v>
      </c>
      <c r="AH2" t="s">
        <v>3</v>
      </c>
      <c r="AJ2">
        <f>(Tableau1[[#This Row],[ESTIMATIONS]]+(Tableau1[[#This Row],[SOMME DES OFFRES]]/Tableau1[[#This Row],[NOMBRE DES OFFRES]]))/2</f>
        <v>1325</v>
      </c>
      <c r="AK2">
        <f>AVERAGE(Tableau3[OF])</f>
        <v>1350</v>
      </c>
      <c r="AL2">
        <f>AVERAGE(Tableau2[[#This Row],[Prix de référence]],Tableau2[[#This Row],[Moy Concurrents]])</f>
        <v>1337.5</v>
      </c>
    </row>
    <row r="3" spans="1:38" x14ac:dyDescent="0.3">
      <c r="A3">
        <f>(TabPrincipale[[#This Row],[Estimation ]]+(TabPrincipale[[#This Row],[Somme des offres ]]/TabPrincipale[[#This Row],[Nombres des offres ]]))/2</f>
        <v>1100</v>
      </c>
      <c r="B3">
        <v>1100</v>
      </c>
      <c r="C3">
        <v>1150</v>
      </c>
      <c r="D3">
        <f>SUM(TabPrincipale[[#This Row],[Evolution Prix du concurrent 1]]:TabPrincipale[[#This Row],[Evolution Prix du concurrent 2]],TabPrincipale[[#This Row],[Prix ECS]])</f>
        <v>3150</v>
      </c>
      <c r="E3">
        <v>3</v>
      </c>
      <c r="F3">
        <v>1100</v>
      </c>
      <c r="G3">
        <f>TabPrincipale[[#This Row],[Evolution Prix du concurrent 1]]-TabPrincipale[[#This Row],[Colonne de calcul]]</f>
        <v>0</v>
      </c>
      <c r="H3">
        <v>900</v>
      </c>
      <c r="I3">
        <f>TabPrincipale[[#This Row],[Evolution Prix du concurrent 2]]-TabPrincipale[[#This Row],[Colonne de calcul]]</f>
        <v>-200</v>
      </c>
      <c r="J3">
        <v>1150</v>
      </c>
      <c r="K3">
        <f>TabPrincipale[[#This Row],[Prix ECS]]-TabPrincipale[[#This Row],[Colonne de calcul]]</f>
        <v>50</v>
      </c>
      <c r="L3">
        <f>STDEV(G3:G10)</f>
        <v>70.491120120714569</v>
      </c>
      <c r="M3">
        <f>STDEV(I3:I10)</f>
        <v>81.642063835388143</v>
      </c>
      <c r="N3">
        <f>STDEV(K3:K10)</f>
        <v>60.73908223797185</v>
      </c>
      <c r="O3">
        <f>MEDIAN(G3:G10)</f>
        <v>87.5</v>
      </c>
      <c r="P3">
        <f>MEDIAN(K3:K10)</f>
        <v>54.166666666666742</v>
      </c>
      <c r="Q3">
        <f>MEDIAN(I3:I10)</f>
        <v>-120.83333333333326</v>
      </c>
      <c r="R3">
        <f>AVERAGE(G3:G10)</f>
        <v>90.625</v>
      </c>
      <c r="S3">
        <f>AVERAGE(I3:I10)</f>
        <v>-121.875</v>
      </c>
      <c r="T3">
        <f>AVERAGE(K3:K10)</f>
        <v>78.125</v>
      </c>
      <c r="U3">
        <f>_xlfn.QUARTILE.INC(G3:G10,3)</f>
        <v>150</v>
      </c>
      <c r="V3">
        <f>_xlfn.QUARTILE.INC(I3:I10,3)</f>
        <v>-56.250000000000114</v>
      </c>
      <c r="W3">
        <f>_xlfn.QUARTILE.INC(K3:K10,3)</f>
        <v>108.33333333333337</v>
      </c>
      <c r="AG3">
        <v>1350</v>
      </c>
      <c r="AH3" t="s">
        <v>4</v>
      </c>
    </row>
    <row r="4" spans="1:38" x14ac:dyDescent="0.3">
      <c r="A4">
        <f>(TabPrincipale[[#This Row],[Estimation ]]+(TabPrincipale[[#This Row],[Somme des offres ]]/TabPrincipale[[#This Row],[Nombres des offres ]]))/2</f>
        <v>1151.3888888888889</v>
      </c>
      <c r="B4">
        <v>1141.6666666666665</v>
      </c>
      <c r="C4">
        <v>1150</v>
      </c>
      <c r="D4">
        <f>SUM(TabPrincipale[[#This Row],[Evolution Prix du concurrent 1]]:TabPrincipale[[#This Row],[Evolution Prix du concurrent 2]],TabPrincipale[[#This Row],[Prix ECS]])</f>
        <v>3458.3333333333335</v>
      </c>
      <c r="E4">
        <v>3</v>
      </c>
      <c r="F4">
        <v>1200</v>
      </c>
      <c r="G4">
        <f>TabPrincipale[[#This Row],[Evolution Prix du concurrent 1]]-TabPrincipale[[#This Row],[Colonne de calcul]]</f>
        <v>58.333333333333485</v>
      </c>
      <c r="H4">
        <v>1000</v>
      </c>
      <c r="I4">
        <f>TabPrincipale[[#This Row],[Evolution Prix du concurrent 2]]-TabPrincipale[[#This Row],[Colonne de calcul]]</f>
        <v>-141.66666666666652</v>
      </c>
      <c r="J4">
        <v>1200</v>
      </c>
      <c r="K4">
        <f>TabPrincipale[[#This Row],[Prix ECS]]-TabPrincipale[[#This Row],[Colonne de calcul]]</f>
        <v>58.333333333333485</v>
      </c>
      <c r="L4">
        <f>STDEV(G4:G10)</f>
        <v>65.060004863235491</v>
      </c>
      <c r="M4">
        <f>STDEV(I4:I10)</f>
        <v>81.325006079044471</v>
      </c>
      <c r="N4">
        <f>STDEV(K4:K10)</f>
        <v>64.447181113211997</v>
      </c>
      <c r="O4">
        <f>MEDIAN(G4:G10)</f>
        <v>91.666666666666515</v>
      </c>
      <c r="P4">
        <f>MEDIAN(K4:K10)</f>
        <v>58.333333333333485</v>
      </c>
      <c r="Q4">
        <f>MEDIAN(I4:I10)</f>
        <v>-100</v>
      </c>
      <c r="R4">
        <f>AVERAGE(G4:G10)</f>
        <v>103.57142857142857</v>
      </c>
      <c r="S4">
        <f>AVERAGE(I4:I10)</f>
        <v>-110.71428571428571</v>
      </c>
      <c r="T4">
        <f>AVERAGE(K4:K10)</f>
        <v>82.142857142857139</v>
      </c>
      <c r="U4">
        <f>_xlfn.QUARTILE.INC(G4:G10,3)</f>
        <v>150</v>
      </c>
      <c r="V4">
        <f>_xlfn.QUARTILE.INC(I4:I10,3)</f>
        <v>-54.166666666666742</v>
      </c>
      <c r="W4">
        <f>_xlfn.QUARTILE.INC(K4:K10,3)</f>
        <v>116.66666666666674</v>
      </c>
      <c r="AG4">
        <v>1200</v>
      </c>
      <c r="AH4" t="s">
        <v>5</v>
      </c>
    </row>
    <row r="5" spans="1:38" x14ac:dyDescent="0.3">
      <c r="A5">
        <f>(TabPrincipale[[#This Row],[Estimation ]]+(TabPrincipale[[#This Row],[Somme des offres ]]/TabPrincipale[[#This Row],[Nombres des offres ]]))/2</f>
        <v>1280.5555555555557</v>
      </c>
      <c r="B5">
        <v>1266.6666666666665</v>
      </c>
      <c r="C5">
        <v>1200</v>
      </c>
      <c r="D5">
        <f>SUM(TabPrincipale[[#This Row],[Evolution Prix du concurrent 1]]:TabPrincipale[[#This Row],[Evolution Prix du concurrent 2]],TabPrincipale[[#This Row],[Prix ECS]])</f>
        <v>4083.3333333333335</v>
      </c>
      <c r="E5">
        <v>3</v>
      </c>
      <c r="F5">
        <v>1350</v>
      </c>
      <c r="G5">
        <f>TabPrincipale[[#This Row],[Evolution Prix du concurrent 1]]-TabPrincipale[[#This Row],[Colonne de calcul]]</f>
        <v>83.333333333333485</v>
      </c>
      <c r="H5">
        <v>1250</v>
      </c>
      <c r="I5">
        <f>TabPrincipale[[#This Row],[Evolution Prix du concurrent 2]]-TabPrincipale[[#This Row],[Colonne de calcul]]</f>
        <v>-16.666666666666515</v>
      </c>
      <c r="J5">
        <v>1400</v>
      </c>
      <c r="K5">
        <f>TabPrincipale[[#This Row],[Prix ECS]]-TabPrincipale[[#This Row],[Colonne de calcul]]</f>
        <v>133.33333333333348</v>
      </c>
      <c r="L5">
        <f>STDEV(G5:G10)</f>
        <v>67.836950490509551</v>
      </c>
      <c r="M5">
        <f>STDEV(I5:I10)</f>
        <v>87.823476149392832</v>
      </c>
      <c r="N5">
        <f>STDEV(K5:K10)</f>
        <v>69.655235638477691</v>
      </c>
      <c r="O5">
        <f>MEDIAN(G5:G10)</f>
        <v>120.83333333333326</v>
      </c>
      <c r="P5">
        <f>MEDIAN(K5:K10)</f>
        <v>75</v>
      </c>
      <c r="Q5">
        <f>MEDIAN(I5:I10)</f>
        <v>-79.166666666666742</v>
      </c>
      <c r="R5">
        <f>AVERAGE(G5:G10)</f>
        <v>111.11111111111109</v>
      </c>
      <c r="S5">
        <f>AVERAGE(I5:I10)</f>
        <v>-105.55555555555559</v>
      </c>
      <c r="T5">
        <f>AVERAGE(K5:K10)</f>
        <v>86.111111111111086</v>
      </c>
      <c r="U5">
        <f>_xlfn.QUARTILE.INC(G5:G10,3)</f>
        <v>150</v>
      </c>
      <c r="V5">
        <f>_xlfn.QUARTILE.INC(I5:I10,3)</f>
        <v>-52.083333333333371</v>
      </c>
      <c r="W5">
        <f>_xlfn.QUARTILE.INC(K5:K10,3)</f>
        <v>125.00000000000011</v>
      </c>
    </row>
    <row r="6" spans="1:38" x14ac:dyDescent="0.3">
      <c r="A6">
        <f>(TabPrincipale[[#This Row],[Estimation ]]+(TabPrincipale[[#This Row],[Somme des offres ]]/TabPrincipale[[#This Row],[Nombres des offres ]]))/2</f>
        <v>1400</v>
      </c>
      <c r="B6">
        <v>1400</v>
      </c>
      <c r="C6">
        <v>1400</v>
      </c>
      <c r="D6">
        <f>SUM(TabPrincipale[[#This Row],[Evolution Prix du concurrent 1]]:TabPrincipale[[#This Row],[Evolution Prix du concurrent 2]],TabPrincipale[[#This Row],[Prix ECS]])</f>
        <v>4200</v>
      </c>
      <c r="E6">
        <v>3</v>
      </c>
      <c r="F6">
        <v>1400</v>
      </c>
      <c r="G6">
        <f>TabPrincipale[[#This Row],[Evolution Prix du concurrent 1]]-TabPrincipale[[#This Row],[Colonne de calcul]]</f>
        <v>0</v>
      </c>
      <c r="H6">
        <v>1300</v>
      </c>
      <c r="I6">
        <f>TabPrincipale[[#This Row],[Evolution Prix du concurrent 2]]-TabPrincipale[[#This Row],[Colonne de calcul]]</f>
        <v>-100</v>
      </c>
      <c r="J6">
        <v>1500</v>
      </c>
      <c r="K6">
        <f>TabPrincipale[[#This Row],[Prix ECS]]-TabPrincipale[[#This Row],[Colonne de calcul]]</f>
        <v>100</v>
      </c>
      <c r="L6">
        <f>STDEV(G6:G10)</f>
        <v>74.302310417195855</v>
      </c>
      <c r="M6">
        <f>STDEV(I6:I10)</f>
        <v>85.269181615243241</v>
      </c>
      <c r="N6">
        <f>STDEV(K6:K10)</f>
        <v>73.456336236796659</v>
      </c>
      <c r="O6">
        <f>MEDIAN(G6:G10)</f>
        <v>150</v>
      </c>
      <c r="P6">
        <f>MEDIAN(K6:K10)</f>
        <v>50</v>
      </c>
      <c r="Q6">
        <f>MEDIAN(I6:I10)</f>
        <v>-100</v>
      </c>
      <c r="R6">
        <f>AVERAGE(G6:G10)</f>
        <v>116.6666666666666</v>
      </c>
      <c r="S6">
        <f>AVERAGE(I6:I10)</f>
        <v>-123.3333333333334</v>
      </c>
      <c r="T6">
        <f>AVERAGE(K6:K10)</f>
        <v>76.6666666666666</v>
      </c>
      <c r="U6">
        <f>_xlfn.QUARTILE.INC(G6:G10,3)</f>
        <v>150</v>
      </c>
      <c r="V6">
        <f>_xlfn.QUARTILE.INC(I6:I10,3)</f>
        <v>-58.333333333333485</v>
      </c>
      <c r="W6">
        <f>_xlfn.QUARTILE.INC(K6:K10,3)</f>
        <v>100</v>
      </c>
    </row>
    <row r="7" spans="1:38" x14ac:dyDescent="0.3">
      <c r="A7">
        <f>(TabPrincipale[[#This Row],[Estimation ]]+(TabPrincipale[[#This Row],[Somme des offres ]]/TabPrincipale[[#This Row],[Nombres des offres ]]))/2</f>
        <v>1440.2777777777778</v>
      </c>
      <c r="B7">
        <v>1408.3333333333335</v>
      </c>
      <c r="C7">
        <v>1300</v>
      </c>
      <c r="D7">
        <f>SUM(TabPrincipale[[#This Row],[Evolution Prix du concurrent 1]]:TabPrincipale[[#This Row],[Evolution Prix du concurrent 2]],TabPrincipale[[#This Row],[Prix ECS]])</f>
        <v>4741.6666666666661</v>
      </c>
      <c r="E7">
        <v>3</v>
      </c>
      <c r="F7">
        <v>1600</v>
      </c>
      <c r="G7">
        <f>TabPrincipale[[#This Row],[Evolution Prix du concurrent 1]]-TabPrincipale[[#This Row],[Colonne de calcul]]</f>
        <v>191.66666666666652</v>
      </c>
      <c r="H7">
        <v>1350</v>
      </c>
      <c r="I7">
        <f>TabPrincipale[[#This Row],[Evolution Prix du concurrent 2]]-TabPrincipale[[#This Row],[Colonne de calcul]]</f>
        <v>-58.333333333333485</v>
      </c>
      <c r="J7">
        <v>1600</v>
      </c>
      <c r="K7">
        <f>TabPrincipale[[#This Row],[Prix ECS]]-TabPrincipale[[#This Row],[Colonne de calcul]]</f>
        <v>191.66666666666652</v>
      </c>
      <c r="L7">
        <f>STDEV(G7:G10)</f>
        <v>41.107357185968759</v>
      </c>
      <c r="M7">
        <f>STDEV(I7:I10)</f>
        <v>97.30155493409444</v>
      </c>
      <c r="N7">
        <f>STDEV(K7:K10)</f>
        <v>83.472106673981699</v>
      </c>
      <c r="O7">
        <f>MEDIAN(G7:G10)</f>
        <v>150</v>
      </c>
      <c r="P7">
        <f>MEDIAN(K7:K10)</f>
        <v>45.833333333333258</v>
      </c>
      <c r="Q7">
        <f>MEDIAN(I7:I10)</f>
        <v>-104.16666666666674</v>
      </c>
      <c r="R7">
        <f>AVERAGE(G7:G10)</f>
        <v>145.83333333333326</v>
      </c>
      <c r="S7">
        <f>AVERAGE(I7:I10)</f>
        <v>-129.16666666666674</v>
      </c>
      <c r="T7">
        <f>AVERAGE(K7:K10)</f>
        <v>70.833333333333258</v>
      </c>
      <c r="U7">
        <f>_xlfn.QUARTILE.INC(G7:G10,3)</f>
        <v>160.41666666666663</v>
      </c>
      <c r="V7">
        <f>_xlfn.QUARTILE.INC(I7:I10,3)</f>
        <v>-56.250000000000114</v>
      </c>
      <c r="W7">
        <f>_xlfn.QUARTILE.INC(K7:K10,3)</f>
        <v>85.416666666666629</v>
      </c>
    </row>
    <row r="8" spans="1:38" x14ac:dyDescent="0.3">
      <c r="A8">
        <f>(TabPrincipale[[#This Row],[Estimation ]]+(TabPrincipale[[#This Row],[Somme des offres ]]/TabPrincipale[[#This Row],[Nombres des offres ]]))/2</f>
        <v>1673.6111111111109</v>
      </c>
      <c r="B8">
        <v>1658.3333333333335</v>
      </c>
      <c r="C8">
        <v>1700</v>
      </c>
      <c r="D8">
        <f>SUM(TabPrincipale[[#This Row],[Evolution Prix du concurrent 1]]:TabPrincipale[[#This Row],[Evolution Prix du concurrent 2]],TabPrincipale[[#This Row],[Prix ECS]])</f>
        <v>4941.6666666666661</v>
      </c>
      <c r="E8">
        <v>3</v>
      </c>
      <c r="F8">
        <v>1750</v>
      </c>
      <c r="G8">
        <f>TabPrincipale[[#This Row],[Evolution Prix du concurrent 1]]-TabPrincipale[[#This Row],[Colonne de calcul]]</f>
        <v>91.666666666666515</v>
      </c>
      <c r="H8">
        <v>1400</v>
      </c>
      <c r="I8">
        <f>TabPrincipale[[#This Row],[Evolution Prix du concurrent 2]]-TabPrincipale[[#This Row],[Colonne de calcul]]</f>
        <v>-258.33333333333348</v>
      </c>
      <c r="J8">
        <v>1700</v>
      </c>
      <c r="K8">
        <f>TabPrincipale[[#This Row],[Prix ECS]]-TabPrincipale[[#This Row],[Colonne de calcul]]</f>
        <v>41.666666666666515</v>
      </c>
      <c r="L8">
        <f>STDEV(G8:G10)</f>
        <v>33.678765702728278</v>
      </c>
      <c r="M8">
        <f>STDEV(I8:I10)</f>
        <v>104.19444074172814</v>
      </c>
      <c r="N8">
        <f>STDEV(K8:K10)</f>
        <v>26.787918780535957</v>
      </c>
      <c r="O8">
        <f>MEDIAN(G8:G10)</f>
        <v>150</v>
      </c>
      <c r="P8">
        <f>MEDIAN(K8:K10)</f>
        <v>41.666666666666515</v>
      </c>
      <c r="Q8">
        <f>MEDIAN(I8:I10)</f>
        <v>-150</v>
      </c>
      <c r="R8">
        <f>AVERAGE(G8:G10)</f>
        <v>130.55555555555551</v>
      </c>
      <c r="S8">
        <f>AVERAGE(I8:I10)</f>
        <v>-152.77777777777783</v>
      </c>
      <c r="T8">
        <f>AVERAGE(K8:K10)</f>
        <v>30.555555555555504</v>
      </c>
      <c r="U8">
        <f>_xlfn.QUARTILE.INC(G8:G10,3)</f>
        <v>150</v>
      </c>
      <c r="V8">
        <f>_xlfn.QUARTILE.INC(I8:I10,3)</f>
        <v>-100</v>
      </c>
      <c r="W8">
        <f>_xlfn.QUARTILE.INC(K8:K10,3)</f>
        <v>45.833333333333258</v>
      </c>
    </row>
    <row r="9" spans="1:38" x14ac:dyDescent="0.3">
      <c r="A9">
        <f>(TabPrincipale[[#This Row],[Estimation ]]+(TabPrincipale[[#This Row],[Somme des offres ]]/TabPrincipale[[#This Row],[Nombres des offres ]]))/2</f>
        <v>1825</v>
      </c>
      <c r="B9">
        <v>1800</v>
      </c>
      <c r="C9">
        <v>1800</v>
      </c>
      <c r="D9">
        <f>SUM(TabPrincipale[[#This Row],[Evolution Prix du concurrent 1]]:TabPrincipale[[#This Row],[Evolution Prix du concurrent 2]],TabPrincipale[[#This Row],[Prix ECS]])</f>
        <v>5550</v>
      </c>
      <c r="E9">
        <v>3</v>
      </c>
      <c r="F9">
        <v>1950</v>
      </c>
      <c r="G9">
        <f>TabPrincipale[[#This Row],[Evolution Prix du concurrent 1]]-TabPrincipale[[#This Row],[Colonne de calcul]]</f>
        <v>150</v>
      </c>
      <c r="H9">
        <v>1650</v>
      </c>
      <c r="I9">
        <f>TabPrincipale[[#This Row],[Evolution Prix du concurrent 2]]-TabPrincipale[[#This Row],[Colonne de calcul]]</f>
        <v>-150</v>
      </c>
      <c r="J9">
        <v>1800</v>
      </c>
      <c r="K9">
        <f>TabPrincipale[[#This Row],[Prix ECS]]-TabPrincipale[[#This Row],[Colonne de calcul]]</f>
        <v>0</v>
      </c>
      <c r="L9">
        <f>STDEV(G9:G10)</f>
        <v>0</v>
      </c>
      <c r="M9">
        <f>STDEV(I9:I10)</f>
        <v>70.710678118654755</v>
      </c>
      <c r="N9">
        <f>STDEV(K9:K10)</f>
        <v>35.355339059327378</v>
      </c>
      <c r="O9">
        <f>MEDIAN(G9:G10)</f>
        <v>150</v>
      </c>
      <c r="P9">
        <f>MEDIAN(K9:K10)</f>
        <v>25</v>
      </c>
      <c r="Q9">
        <f>MEDIAN(I9:I10)</f>
        <v>-100</v>
      </c>
      <c r="R9">
        <f>AVERAGE(G9:G10)</f>
        <v>150</v>
      </c>
      <c r="S9">
        <f>AVERAGE(I9:I10)</f>
        <v>-100</v>
      </c>
      <c r="T9">
        <f>AVERAGE(K9:K10)</f>
        <v>25</v>
      </c>
      <c r="U9">
        <f>_xlfn.QUARTILE.INC(G9:G10,3)</f>
        <v>150</v>
      </c>
      <c r="V9">
        <f>_xlfn.QUARTILE.INC(I9:I10,3)</f>
        <v>-75</v>
      </c>
      <c r="W9">
        <f>_xlfn.QUARTILE.INC(K9:K10,3)</f>
        <v>37.5</v>
      </c>
    </row>
    <row r="10" spans="1:38" x14ac:dyDescent="0.3">
      <c r="A10">
        <f>(TabPrincipale[[#This Row],[Estimation ]]+(TabPrincipale[[#This Row],[Somme des offres ]]/TabPrincipale[[#This Row],[Nombres des offres ]]))/2</f>
        <v>1875</v>
      </c>
      <c r="B10">
        <v>1850</v>
      </c>
      <c r="C10">
        <v>1800</v>
      </c>
      <c r="D10">
        <f>SUM(TabPrincipale[[#This Row],[Evolution Prix du concurrent 1]]:TabPrincipale[[#This Row],[Evolution Prix du concurrent 2]],TabPrincipale[[#This Row],[Prix ECS]])</f>
        <v>5850</v>
      </c>
      <c r="E10">
        <v>3</v>
      </c>
      <c r="F10">
        <v>2000</v>
      </c>
      <c r="G10">
        <f>TabPrincipale[[#This Row],[Evolution Prix du concurrent 1]]-TabPrincipale[[#This Row],[Colonne de calcul]]</f>
        <v>150</v>
      </c>
      <c r="H10">
        <v>1800</v>
      </c>
      <c r="I10">
        <f>TabPrincipale[[#This Row],[Evolution Prix du concurrent 2]]-TabPrincipale[[#This Row],[Colonne de calcul]]</f>
        <v>-50</v>
      </c>
      <c r="J10">
        <v>1900</v>
      </c>
      <c r="K10">
        <f>TabPrincipale[[#This Row],[Prix ECS]]-TabPrincipale[[#This Row],[Colonne de calcul]]</f>
        <v>50</v>
      </c>
      <c r="L10" t="e">
        <f>STDEV(G10:G10)</f>
        <v>#DIV/0!</v>
      </c>
      <c r="M10" t="e">
        <f>STDEV(I10:I10)</f>
        <v>#DIV/0!</v>
      </c>
      <c r="N10" t="e">
        <f>STDEV(K10:K10)</f>
        <v>#DIV/0!</v>
      </c>
      <c r="O10">
        <f>MEDIAN(G10:G10)</f>
        <v>150</v>
      </c>
      <c r="P10">
        <f>MEDIAN(K10:K10)</f>
        <v>50</v>
      </c>
      <c r="Q10">
        <f>MEDIAN(I10:I10)</f>
        <v>-50</v>
      </c>
      <c r="R10">
        <f>AVERAGE(G10:G10)</f>
        <v>150</v>
      </c>
      <c r="S10">
        <f>AVERAGE(I10:I10)</f>
        <v>-50</v>
      </c>
      <c r="T10">
        <f>AVERAGE(K10:K10)</f>
        <v>50</v>
      </c>
      <c r="U10">
        <f>_xlfn.QUARTILE.INC(G10:G10,3)</f>
        <v>150</v>
      </c>
      <c r="V10">
        <f>_xlfn.QUARTILE.INC(I10:I10,3)</f>
        <v>-50</v>
      </c>
      <c r="W10">
        <f>_xlfn.QUARTILE.INC(K10:K10,3)</f>
        <v>50</v>
      </c>
    </row>
    <row r="11" spans="1:38" x14ac:dyDescent="0.3">
      <c r="A11" t="e">
        <f>(TabPrincipale[[#This Row],[Estimation ]]+(TabPrincipale[[#This Row],[Somme des offres ]]/TabPrincipale[[#This Row],[Nombres des offres ]]))/2</f>
        <v>#DIV/0!</v>
      </c>
      <c r="D11">
        <f>SUM(TabPrincipale[[#This Row],[Evolution Prix du concurrent 1]]:TabPrincipale[[#This Row],[Evolution Prix du concurrent 2]],TabPrincipale[[#This Row],[Prix ECS]])</f>
        <v>0</v>
      </c>
      <c r="G11">
        <f>TabPrincipale[[#This Row],[Evolution Prix du concurrent 1]]-TabPrincipale[[#This Row],[Colonne de calcul]]</f>
        <v>0</v>
      </c>
      <c r="I11">
        <f>TabPrincipale[[#This Row],[Evolution Prix du concurrent 2]]-TabPrincipale[[#This Row],[Colonne de calcul]]</f>
        <v>0</v>
      </c>
      <c r="K11">
        <f>TabPrincipale[[#This Row],[Prix ECS]]-TabPrincipale[[#This Row],[Colonne de calcul]]</f>
        <v>0</v>
      </c>
      <c r="L11" t="e">
        <f t="shared" si="0"/>
        <v>#DIV/0!</v>
      </c>
      <c r="M11" t="e">
        <f t="shared" si="1"/>
        <v>#DIV/0!</v>
      </c>
      <c r="N11" t="e">
        <f t="shared" si="2"/>
        <v>#DIV/0!</v>
      </c>
      <c r="O11">
        <f t="shared" si="3"/>
        <v>0</v>
      </c>
      <c r="P11">
        <f t="shared" si="4"/>
        <v>0</v>
      </c>
      <c r="Q11">
        <f t="shared" si="5"/>
        <v>0</v>
      </c>
      <c r="R11">
        <f t="shared" si="6"/>
        <v>0</v>
      </c>
      <c r="S11">
        <f t="shared" si="7"/>
        <v>0</v>
      </c>
      <c r="T11">
        <f t="shared" si="8"/>
        <v>0</v>
      </c>
      <c r="U11">
        <f t="shared" si="9"/>
        <v>0</v>
      </c>
      <c r="V11">
        <f t="shared" si="10"/>
        <v>0</v>
      </c>
      <c r="W11">
        <f t="shared" si="11"/>
        <v>0</v>
      </c>
    </row>
  </sheetData>
  <phoneticPr fontId="1" type="noConversion"/>
  <pageMargins left="0.7" right="0.7" top="0.75" bottom="0.75" header="0.3" footer="0.3"/>
  <pageSetup paperSize="9" orientation="portrait" r:id="rId1"/>
  <tableParts count="4">
    <tablePart r:id="rId2"/>
    <tablePart r:id="rId3"/>
    <tablePart r:id="rId4"/>
    <tablePart r:id="rId5"/>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274C-9E39-4EAA-84F9-E0C849A548BF}">
  <dimension ref="A1"/>
  <sheetViews>
    <sheetView topLeftCell="A9" workbookViewId="0">
      <selection activeCell="D25" sqref="D25"/>
    </sheetView>
  </sheetViews>
  <sheetFormatPr baseColWidth="10"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AA9CD2-8772-4117-8BE7-5C5D16ABF6DA}">
  <dimension ref="A1:B4"/>
  <sheetViews>
    <sheetView workbookViewId="0">
      <selection activeCell="B4" sqref="B4"/>
    </sheetView>
  </sheetViews>
  <sheetFormatPr baseColWidth="10" defaultRowHeight="14.4" x14ac:dyDescent="0.3"/>
  <cols>
    <col min="1" max="1" width="92.33203125" bestFit="1" customWidth="1"/>
    <col min="2" max="2" width="84.109375" customWidth="1"/>
  </cols>
  <sheetData>
    <row r="1" spans="1:2" ht="208.2" customHeight="1" x14ac:dyDescent="0.3">
      <c r="A1" s="2" t="s">
        <v>34</v>
      </c>
      <c r="B1" s="1" t="s">
        <v>38</v>
      </c>
    </row>
    <row r="2" spans="1:2" ht="409.6" x14ac:dyDescent="0.3">
      <c r="A2" s="2" t="s">
        <v>40</v>
      </c>
      <c r="B2" s="1" t="s">
        <v>39</v>
      </c>
    </row>
    <row r="3" spans="1:2" ht="201.6" x14ac:dyDescent="0.3">
      <c r="A3" s="2" t="s">
        <v>37</v>
      </c>
      <c r="B3" s="1" t="s">
        <v>36</v>
      </c>
    </row>
    <row r="4" spans="1:2" ht="388.8" x14ac:dyDescent="0.3">
      <c r="A4" s="1" t="s">
        <v>41</v>
      </c>
      <c r="B4" s="2" t="s">
        <v>42</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a92e802d-6e9a-4572-a1de-33ae11a05590"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A6847769B6B87F48ACF3E50AD7E4587C" ma:contentTypeVersion="12" ma:contentTypeDescription="Crée un document." ma:contentTypeScope="" ma:versionID="e7eda316e1d51164db32dcbb79e4347f">
  <xsd:schema xmlns:xsd="http://www.w3.org/2001/XMLSchema" xmlns:xs="http://www.w3.org/2001/XMLSchema" xmlns:p="http://schemas.microsoft.com/office/2006/metadata/properties" xmlns:ns3="a92e802d-6e9a-4572-a1de-33ae11a05590" xmlns:ns4="5ebdcb5c-b026-4637-9444-2c1bdf573978" targetNamespace="http://schemas.microsoft.com/office/2006/metadata/properties" ma:root="true" ma:fieldsID="49ac5c74d3fc0d35456e458d36ba1e80" ns3:_="" ns4:_="">
    <xsd:import namespace="a92e802d-6e9a-4572-a1de-33ae11a05590"/>
    <xsd:import namespace="5ebdcb5c-b026-4637-9444-2c1bdf573978"/>
    <xsd:element name="properties">
      <xsd:complexType>
        <xsd:sequence>
          <xsd:element name="documentManagement">
            <xsd:complexType>
              <xsd:all>
                <xsd:element ref="ns3:_activity" minOccurs="0"/>
                <xsd:element ref="ns3:MediaServiceMetadata" minOccurs="0"/>
                <xsd:element ref="ns3:MediaServiceFastMetadata" minOccurs="0"/>
                <xsd:element ref="ns3:MediaServiceObjectDetectorVersions" minOccurs="0"/>
                <xsd:element ref="ns3:MediaServiceSystemTags" minOccurs="0"/>
                <xsd:element ref="ns3:MediaServiceOCR" minOccurs="0"/>
                <xsd:element ref="ns3:MediaServiceGenerationTime" minOccurs="0"/>
                <xsd:element ref="ns3:MediaServiceEventHashCode" minOccurs="0"/>
                <xsd:element ref="ns4:SharedWithUsers" minOccurs="0"/>
                <xsd:element ref="ns4:SharedWithDetails" minOccurs="0"/>
                <xsd:element ref="ns4:SharingHintHash" minOccurs="0"/>
                <xsd:element ref="ns3: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92e802d-6e9a-4572-a1de-33ae11a05590" elementFormDefault="qualified">
    <xsd:import namespace="http://schemas.microsoft.com/office/2006/documentManagement/types"/>
    <xsd:import namespace="http://schemas.microsoft.com/office/infopath/2007/PartnerControls"/>
    <xsd:element name="_activity" ma:index="8" nillable="true" ma:displayName="_activity" ma:hidden="true" ma:internalName="_activity">
      <xsd:simpleType>
        <xsd:restriction base="dms:Note"/>
      </xsd:simpleType>
    </xsd:element>
    <xsd:element name="MediaServiceMetadata" ma:index="9" nillable="true" ma:displayName="MediaServiceMetadata" ma:hidden="true" ma:internalName="MediaServiceMetadata" ma:readOnly="true">
      <xsd:simpleType>
        <xsd:restriction base="dms:Note"/>
      </xsd:simpleType>
    </xsd:element>
    <xsd:element name="MediaServiceFastMetadata" ma:index="10" nillable="true" ma:displayName="MediaServiceFastMetadata" ma:hidden="true" ma:internalName="MediaServiceFastMetadata"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SystemTags" ma:index="12" nillable="true" ma:displayName="MediaServiceSystemTags" ma:hidden="true" ma:internalName="MediaServiceSystemTags" ma:readOnly="true">
      <xsd:simpleType>
        <xsd:restriction base="dms:Note"/>
      </xsd:simpleType>
    </xsd:element>
    <xsd:element name="MediaServiceOCR" ma:index="13" nillable="true" ma:displayName="Extracted Text" ma:internalName="MediaServiceOCR" ma:readOnly="true">
      <xsd:simpleType>
        <xsd:restriction base="dms:Note">
          <xsd:maxLength value="255"/>
        </xsd:restriction>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ebdcb5c-b026-4637-9444-2c1bdf573978" elementFormDefault="qualified">
    <xsd:import namespace="http://schemas.microsoft.com/office/2006/documentManagement/types"/>
    <xsd:import namespace="http://schemas.microsoft.com/office/infopath/2007/PartnerControls"/>
    <xsd:element name="SharedWithUsers" ma:index="16"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7" nillable="true" ma:displayName="Partagé avec détails" ma:internalName="SharedWithDetails" ma:readOnly="true">
      <xsd:simpleType>
        <xsd:restriction base="dms:Note">
          <xsd:maxLength value="255"/>
        </xsd:restriction>
      </xsd:simpleType>
    </xsd:element>
    <xsd:element name="SharingHintHash" ma:index="18" nillable="true" ma:displayName="Partage du hachage d’indicateur" ma:hidden="true" ma:internalName="SharingHintHash"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2AAC2E40-824D-4872-B3CB-1EE0FE0DDE4F}">
  <ds:schemaRefs>
    <ds:schemaRef ds:uri="http://purl.org/dc/elements/1.1/"/>
    <ds:schemaRef ds:uri="5ebdcb5c-b026-4637-9444-2c1bdf573978"/>
    <ds:schemaRef ds:uri="http://schemas.microsoft.com/office/2006/metadata/properties"/>
    <ds:schemaRef ds:uri="http://schemas.microsoft.com/office/2006/documentManagement/types"/>
    <ds:schemaRef ds:uri="http://purl.org/dc/terms/"/>
    <ds:schemaRef ds:uri="http://schemas.microsoft.com/office/infopath/2007/PartnerControls"/>
    <ds:schemaRef ds:uri="http://www.w3.org/XML/1998/namespace"/>
    <ds:schemaRef ds:uri="http://schemas.openxmlformats.org/package/2006/metadata/core-properties"/>
    <ds:schemaRef ds:uri="a92e802d-6e9a-4572-a1de-33ae11a05590"/>
    <ds:schemaRef ds:uri="http://purl.org/dc/dcmitype/"/>
  </ds:schemaRefs>
</ds:datastoreItem>
</file>

<file path=customXml/itemProps2.xml><?xml version="1.0" encoding="utf-8"?>
<ds:datastoreItem xmlns:ds="http://schemas.openxmlformats.org/officeDocument/2006/customXml" ds:itemID="{BCC22E07-B842-4A70-9936-A9F1D17AC369}">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a92e802d-6e9a-4572-a1de-33ae11a05590"/>
    <ds:schemaRef ds:uri="5ebdcb5c-b026-4637-9444-2c1bdf573978"/>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A342C31F-5B2F-48A4-BD5C-15C3ECA3154D}">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Feuilles de calcul</vt:lpstr>
      </vt:variant>
      <vt:variant>
        <vt:i4>3</vt:i4>
      </vt:variant>
    </vt:vector>
  </HeadingPairs>
  <TitlesOfParts>
    <vt:vector size="3" baseType="lpstr">
      <vt:lpstr>Simulation de données</vt:lpstr>
      <vt:lpstr>Dashboard</vt:lpstr>
      <vt:lpstr>analyse de données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Reda Zahdali</dc:creator>
  <cp:lastModifiedBy>reda zahdali</cp:lastModifiedBy>
  <dcterms:created xsi:type="dcterms:W3CDTF">2024-01-23T20:43:38Z</dcterms:created>
  <dcterms:modified xsi:type="dcterms:W3CDTF">2025-05-11T18:29:33Z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0x010100A6847769B6B87F48ACF3E50AD7E4587C</vt:lpwstr>
  </property>
</Properties>
</file>